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SANJU\Desktop\"/>
    </mc:Choice>
  </mc:AlternateContent>
  <xr:revisionPtr revIDLastSave="0" documentId="13_ncr:1_{47719AAC-CFD1-4E8D-812F-79F5CCEB7292}" xr6:coauthVersionLast="47" xr6:coauthVersionMax="47" xr10:uidLastSave="{00000000-0000-0000-0000-000000000000}"/>
  <bookViews>
    <workbookView xWindow="-110" yWindow="-110" windowWidth="19420" windowHeight="10300" xr2:uid="{ECC9A7E0-4B49-40C1-A582-F3463C5CBD25}"/>
  </bookViews>
  <sheets>
    <sheet name="pivot" sheetId="3" r:id="rId1"/>
    <sheet name="Dashboard" sheetId="4" r:id="rId2"/>
    <sheet name="ecommerce sales project" sheetId="1" r:id="rId3"/>
  </sheets>
  <definedNames>
    <definedName name="Slicer_Category">#N/A</definedName>
    <definedName name="Slicer_Payment_Mod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3" l="1"/>
  <c r="J4" i="3"/>
  <c r="I4" i="3"/>
  <c r="H4" i="3"/>
</calcChain>
</file>

<file path=xl/sharedStrings.xml><?xml version="1.0" encoding="utf-8"?>
<sst xmlns="http://schemas.openxmlformats.org/spreadsheetml/2006/main" count="5067" uniqueCount="1097">
  <si>
    <t>Order_ID</t>
  </si>
  <si>
    <t>Order_Date</t>
  </si>
  <si>
    <t>Region</t>
  </si>
  <si>
    <t>Category</t>
  </si>
  <si>
    <t>Product_Name</t>
  </si>
  <si>
    <t>Quantity</t>
  </si>
  <si>
    <t>Unit_Price</t>
  </si>
  <si>
    <t>Sales</t>
  </si>
  <si>
    <t>Payment_Mode</t>
  </si>
  <si>
    <t>ORD0001</t>
  </si>
  <si>
    <t>East</t>
  </si>
  <si>
    <t>Clothing</t>
  </si>
  <si>
    <t>Product_37</t>
  </si>
  <si>
    <t>Cash on Delivery</t>
  </si>
  <si>
    <t>ORD0002</t>
  </si>
  <si>
    <t>Home &amp; Kitchen</t>
  </si>
  <si>
    <t>Product_32</t>
  </si>
  <si>
    <t>Debit Card</t>
  </si>
  <si>
    <t>ORD0003</t>
  </si>
  <si>
    <t>South</t>
  </si>
  <si>
    <t>Sports</t>
  </si>
  <si>
    <t>Product_38</t>
  </si>
  <si>
    <t>Credit Card</t>
  </si>
  <si>
    <t>ORD0004</t>
  </si>
  <si>
    <t>North</t>
  </si>
  <si>
    <t>Electronics</t>
  </si>
  <si>
    <t>Product_8</t>
  </si>
  <si>
    <t>ORD0005</t>
  </si>
  <si>
    <t>Product_20</t>
  </si>
  <si>
    <t>ORD0006</t>
  </si>
  <si>
    <t>West</t>
  </si>
  <si>
    <t>Product_42</t>
  </si>
  <si>
    <t>UPI</t>
  </si>
  <si>
    <t>ORD0007</t>
  </si>
  <si>
    <t>Product_13</t>
  </si>
  <si>
    <t>ORD0008</t>
  </si>
  <si>
    <t>Product_31</t>
  </si>
  <si>
    <t>ORD0009</t>
  </si>
  <si>
    <t>Product_16</t>
  </si>
  <si>
    <t>ORD0010</t>
  </si>
  <si>
    <t>Beauty</t>
  </si>
  <si>
    <t>Product_2</t>
  </si>
  <si>
    <t>ORD0011</t>
  </si>
  <si>
    <t>Product_44</t>
  </si>
  <si>
    <t>ORD0012</t>
  </si>
  <si>
    <t>ORD0013</t>
  </si>
  <si>
    <t>Product_39</t>
  </si>
  <si>
    <t>ORD0014</t>
  </si>
  <si>
    <t>Product_22</t>
  </si>
  <si>
    <t>ORD0015</t>
  </si>
  <si>
    <t>ORD0016</t>
  </si>
  <si>
    <t>Product_30</t>
  </si>
  <si>
    <t>ORD0017</t>
  </si>
  <si>
    <t>Product_28</t>
  </si>
  <si>
    <t>ORD0018</t>
  </si>
  <si>
    <t>Product_7</t>
  </si>
  <si>
    <t>ORD0019</t>
  </si>
  <si>
    <t>ORD0020</t>
  </si>
  <si>
    <t>Product_3</t>
  </si>
  <si>
    <t>ORD0021</t>
  </si>
  <si>
    <t>Product_24</t>
  </si>
  <si>
    <t>ORD0022</t>
  </si>
  <si>
    <t>Product_14</t>
  </si>
  <si>
    <t>ORD0023</t>
  </si>
  <si>
    <t>Product_18</t>
  </si>
  <si>
    <t>ORD0024</t>
  </si>
  <si>
    <t>ORD0025</t>
  </si>
  <si>
    <t>ORD0026</t>
  </si>
  <si>
    <t>Product_1</t>
  </si>
  <si>
    <t>ORD0027</t>
  </si>
  <si>
    <t>ORD0028</t>
  </si>
  <si>
    <t>Product_49</t>
  </si>
  <si>
    <t>ORD0029</t>
  </si>
  <si>
    <t>ORD0030</t>
  </si>
  <si>
    <t>Product_48</t>
  </si>
  <si>
    <t>ORD0031</t>
  </si>
  <si>
    <t>ORD0032</t>
  </si>
  <si>
    <t>ORD0033</t>
  </si>
  <si>
    <t>Product_36</t>
  </si>
  <si>
    <t>ORD0034</t>
  </si>
  <si>
    <t>Product_27</t>
  </si>
  <si>
    <t>ORD0035</t>
  </si>
  <si>
    <t>ORD0036</t>
  </si>
  <si>
    <t>ORD0037</t>
  </si>
  <si>
    <t>ORD0038</t>
  </si>
  <si>
    <t>ORD0039</t>
  </si>
  <si>
    <t>ORD0040</t>
  </si>
  <si>
    <t>Product_50</t>
  </si>
  <si>
    <t>ORD0041</t>
  </si>
  <si>
    <t>Product_4</t>
  </si>
  <si>
    <t>ORD0042</t>
  </si>
  <si>
    <t>ORD0043</t>
  </si>
  <si>
    <t>Product_29</t>
  </si>
  <si>
    <t>ORD0044</t>
  </si>
  <si>
    <t>ORD0045</t>
  </si>
  <si>
    <t>ORD0046</t>
  </si>
  <si>
    <t>ORD0047</t>
  </si>
  <si>
    <t>ORD0048</t>
  </si>
  <si>
    <t>ORD0049</t>
  </si>
  <si>
    <t>ORD0050</t>
  </si>
  <si>
    <t>Product_5</t>
  </si>
  <si>
    <t>ORD0051</t>
  </si>
  <si>
    <t>Product_47</t>
  </si>
  <si>
    <t>ORD0052</t>
  </si>
  <si>
    <t>ORD0053</t>
  </si>
  <si>
    <t>ORD0054</t>
  </si>
  <si>
    <t>ORD0055</t>
  </si>
  <si>
    <t>ORD0056</t>
  </si>
  <si>
    <t>ORD0057</t>
  </si>
  <si>
    <t>ORD0058</t>
  </si>
  <si>
    <t>ORD0059</t>
  </si>
  <si>
    <t>Product_26</t>
  </si>
  <si>
    <t>ORD0060</t>
  </si>
  <si>
    <t>Product_6</t>
  </si>
  <si>
    <t>ORD0061</t>
  </si>
  <si>
    <t>ORD0062</t>
  </si>
  <si>
    <t>ORD0063</t>
  </si>
  <si>
    <t>ORD0064</t>
  </si>
  <si>
    <t>Product_45</t>
  </si>
  <si>
    <t>ORD0065</t>
  </si>
  <si>
    <t>ORD0066</t>
  </si>
  <si>
    <t>ORD0067</t>
  </si>
  <si>
    <t>ORD0068</t>
  </si>
  <si>
    <t>Product_23</t>
  </si>
  <si>
    <t>ORD0069</t>
  </si>
  <si>
    <t>ORD0070</t>
  </si>
  <si>
    <t>Product_9</t>
  </si>
  <si>
    <t>ORD0071</t>
  </si>
  <si>
    <t>Product_12</t>
  </si>
  <si>
    <t>ORD0072</t>
  </si>
  <si>
    <t>Product_25</t>
  </si>
  <si>
    <t>ORD0073</t>
  </si>
  <si>
    <t>ORD0074</t>
  </si>
  <si>
    <t>ORD0075</t>
  </si>
  <si>
    <t>ORD0076</t>
  </si>
  <si>
    <t>ORD0077</t>
  </si>
  <si>
    <t>ORD0078</t>
  </si>
  <si>
    <t>Product_17</t>
  </si>
  <si>
    <t>ORD0079</t>
  </si>
  <si>
    <t>ORD0080</t>
  </si>
  <si>
    <t>ORD0081</t>
  </si>
  <si>
    <t>ORD0082</t>
  </si>
  <si>
    <t>ORD0083</t>
  </si>
  <si>
    <t>ORD0084</t>
  </si>
  <si>
    <t>ORD0085</t>
  </si>
  <si>
    <t>ORD0086</t>
  </si>
  <si>
    <t>ORD0087</t>
  </si>
  <si>
    <t>ORD0088</t>
  </si>
  <si>
    <t>ORD0089</t>
  </si>
  <si>
    <t>Product_11</t>
  </si>
  <si>
    <t>ORD0090</t>
  </si>
  <si>
    <t>Product_41</t>
  </si>
  <si>
    <t>ORD0091</t>
  </si>
  <si>
    <t>Product_21</t>
  </si>
  <si>
    <t>ORD0092</t>
  </si>
  <si>
    <t>ORD0093</t>
  </si>
  <si>
    <t>ORD0094</t>
  </si>
  <si>
    <t>ORD0095</t>
  </si>
  <si>
    <t>ORD0096</t>
  </si>
  <si>
    <t>ORD0097</t>
  </si>
  <si>
    <t>ORD0098</t>
  </si>
  <si>
    <t>ORD0099</t>
  </si>
  <si>
    <t>ORD0100</t>
  </si>
  <si>
    <t>ORD0101</t>
  </si>
  <si>
    <t>ORD0102</t>
  </si>
  <si>
    <t>ORD0103</t>
  </si>
  <si>
    <t>ORD0104</t>
  </si>
  <si>
    <t>ORD0105</t>
  </si>
  <si>
    <t>Product_33</t>
  </si>
  <si>
    <t>ORD0106</t>
  </si>
  <si>
    <t>ORD0107</t>
  </si>
  <si>
    <t>ORD0108</t>
  </si>
  <si>
    <t>ORD0109</t>
  </si>
  <si>
    <t>Product_35</t>
  </si>
  <si>
    <t>ORD0110</t>
  </si>
  <si>
    <t>ORD0111</t>
  </si>
  <si>
    <t>ORD0112</t>
  </si>
  <si>
    <t>ORD0113</t>
  </si>
  <si>
    <t>ORD0114</t>
  </si>
  <si>
    <t>Product_46</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</si>
  <si>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</si>
  <si>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</si>
  <si>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</si>
  <si>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</si>
  <si>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</si>
  <si>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</si>
  <si>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</si>
  <si>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</si>
  <si>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</si>
  <si>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</si>
  <si>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</si>
  <si>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</si>
  <si>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</si>
  <si>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</si>
  <si>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</si>
  <si>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</si>
  <si>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</si>
  <si>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</si>
  <si>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</si>
  <si>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</si>
  <si>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</si>
  <si>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</si>
  <si>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</si>
  <si>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</si>
  <si>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</si>
  <si>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</si>
  <si>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</si>
  <si>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</si>
  <si>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Product_34</t>
  </si>
  <si>
    <t>ORD0143</t>
  </si>
  <si>
    <t>ORD0144</t>
  </si>
  <si>
    <t>Product_19</t>
  </si>
  <si>
    <t>ORD0145</t>
  </si>
  <si>
    <t>ORD0146</t>
  </si>
  <si>
    <t>ORD0147</t>
  </si>
  <si>
    <t>ORD0148</t>
  </si>
  <si>
    <t>Product_15</t>
  </si>
  <si>
    <t>ORD0149</t>
  </si>
  <si>
    <t>Product_43</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</si>
  <si>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</si>
  <si>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</si>
  <si>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</si>
  <si>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</si>
  <si>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</si>
  <si>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</si>
  <si>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</si>
  <si>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</si>
  <si>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</si>
  <si>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</si>
  <si>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</si>
  <si>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</si>
  <si>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</si>
  <si>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</si>
  <si>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</si>
  <si>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</si>
  <si>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</si>
  <si>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</si>
  <si>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</si>
  <si>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</si>
  <si>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</si>
  <si>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</si>
  <si>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</si>
  <si>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</si>
  <si>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</si>
  <si>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</si>
  <si>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</si>
  <si>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</si>
  <si>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</si>
  <si>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</si>
  <si>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</si>
  <si>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</si>
  <si>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</si>
  <si>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</si>
  <si>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</si>
  <si>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</si>
  <si>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</si>
  <si>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</si>
  <si>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</si>
  <si>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</si>
  <si>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</si>
  <si>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</si>
  <si>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</si>
  <si>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</si>
  <si>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</si>
  <si>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</si>
  <si>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</si>
  <si>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</si>
  <si>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</si>
  <si>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</si>
  <si>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</si>
  <si>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</si>
  <si>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</si>
  <si>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</si>
  <si>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</si>
  <si>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</si>
  <si>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</si>
  <si>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</si>
  <si>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</si>
  <si>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</si>
  <si>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</si>
  <si>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</si>
  <si>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</si>
  <si>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</si>
  <si>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</si>
  <si>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</si>
  <si>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</si>
  <si>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</si>
  <si>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</si>
  <si>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</si>
  <si>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</si>
  <si>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</si>
  <si>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</si>
  <si>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</si>
  <si>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</si>
  <si>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</si>
  <si>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</si>
  <si>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</si>
  <si>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</si>
  <si>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</si>
  <si>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</si>
  <si>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</si>
  <si>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</si>
  <si>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Product_40</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</si>
  <si>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</si>
  <si>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</si>
  <si>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</si>
  <si>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</si>
  <si>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</si>
  <si>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</si>
  <si>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</si>
  <si>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</si>
  <si>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</si>
  <si>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</si>
  <si>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</si>
  <si>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</si>
  <si>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</si>
  <si>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</si>
  <si>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</si>
  <si>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</si>
  <si>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</si>
  <si>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</si>
  <si>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</si>
  <si>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</si>
  <si>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</si>
  <si>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</si>
  <si>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</si>
  <si>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</si>
  <si>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</si>
  <si>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</si>
  <si>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</si>
  <si>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</si>
  <si>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</si>
  <si>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</si>
  <si>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</si>
  <si>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</si>
  <si>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</si>
  <si>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</si>
  <si>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</si>
  <si>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</si>
  <si>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</si>
  <si>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</si>
  <si>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</si>
  <si>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</si>
  <si>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</si>
  <si>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</si>
  <si>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</si>
  <si>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</si>
  <si>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</si>
  <si>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</si>
  <si>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</si>
  <si>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</si>
  <si>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</si>
  <si>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</si>
  <si>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</si>
  <si>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</si>
  <si>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</si>
  <si>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</si>
  <si>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</si>
  <si>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</si>
  <si>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</si>
  <si>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</si>
  <si>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</si>
  <si>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</si>
  <si>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</si>
  <si>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</si>
  <si>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Product_10</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</si>
  <si>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</si>
  <si>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</si>
  <si>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</si>
  <si>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</si>
  <si>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</si>
  <si>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</si>
  <si>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</si>
  <si>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</si>
  <si>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</si>
  <si>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</si>
  <si>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</si>
  <si>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</si>
  <si>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</si>
  <si>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</si>
  <si>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</si>
  <si>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</si>
  <si>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</si>
  <si>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</si>
  <si>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</si>
  <si>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</si>
  <si>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</si>
  <si>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</si>
  <si>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</si>
  <si>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</si>
  <si>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</si>
  <si>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</si>
  <si>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</si>
  <si>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</si>
  <si>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</si>
  <si>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</si>
  <si>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</si>
  <si>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</si>
  <si>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</si>
  <si>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</si>
  <si>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</si>
  <si>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</si>
  <si>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</si>
  <si>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</si>
  <si>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</si>
  <si>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</si>
  <si>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</si>
  <si>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</si>
  <si>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</si>
  <si>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</si>
  <si>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</si>
  <si>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</si>
  <si>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</si>
  <si>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</si>
  <si>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</si>
  <si>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</si>
  <si>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</si>
  <si>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</si>
  <si>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</si>
  <si>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</si>
  <si>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</si>
  <si>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</si>
  <si>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</si>
  <si>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</si>
  <si>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</si>
  <si>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</si>
  <si>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</si>
  <si>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</si>
  <si>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</si>
  <si>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</si>
  <si>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</si>
  <si>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</si>
  <si>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</si>
  <si>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</si>
  <si>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</si>
  <si>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</si>
  <si>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</si>
  <si>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</si>
  <si>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</si>
  <si>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</si>
  <si>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</si>
  <si>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</si>
  <si>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</si>
  <si>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</si>
  <si>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</si>
  <si>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</si>
  <si>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</si>
  <si>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</si>
  <si>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</si>
  <si>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</si>
  <si>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</si>
  <si>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</si>
  <si>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</si>
  <si>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</si>
  <si>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</si>
  <si>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</si>
  <si>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</si>
  <si>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</si>
  <si>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</si>
  <si>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</si>
  <si>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</si>
  <si>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</si>
  <si>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</si>
  <si>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</si>
  <si>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</si>
  <si>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</si>
  <si>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</si>
  <si>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</si>
  <si>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</si>
  <si>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</si>
  <si>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</si>
  <si>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</si>
  <si>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</si>
  <si>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</si>
  <si>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</si>
  <si>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</si>
  <si>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</si>
  <si>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</si>
  <si>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</si>
  <si>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</si>
  <si>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</si>
  <si>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</si>
  <si>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</si>
  <si>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</si>
  <si>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</si>
  <si>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</si>
  <si>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</si>
  <si>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</si>
  <si>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</si>
  <si>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</si>
  <si>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</si>
  <si>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</si>
  <si>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</si>
  <si>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</si>
  <si>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</si>
  <si>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</si>
  <si>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</si>
  <si>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</si>
  <si>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</si>
  <si>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</si>
  <si>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</si>
  <si>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</si>
  <si>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</si>
  <si>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</si>
  <si>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</si>
  <si>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</si>
  <si>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</si>
  <si>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</si>
  <si>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</si>
  <si>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</si>
  <si>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</si>
  <si>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</si>
  <si>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</si>
  <si>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</si>
  <si>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</si>
  <si>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</si>
  <si>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</si>
  <si>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</si>
  <si>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</si>
  <si>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</si>
  <si>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</si>
  <si>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</si>
  <si>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</si>
  <si>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</si>
  <si>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</si>
  <si>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</si>
  <si>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</si>
  <si>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</si>
  <si>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</si>
  <si>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</si>
  <si>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</si>
  <si>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</si>
  <si>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</si>
  <si>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</si>
  <si>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</si>
  <si>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</si>
  <si>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</si>
  <si>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</si>
  <si>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</si>
  <si>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</si>
  <si>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</si>
  <si>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</si>
  <si>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</si>
  <si>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</si>
  <si>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</si>
  <si>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</si>
  <si>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</si>
  <si>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</si>
  <si>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</si>
  <si>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</si>
  <si>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</si>
  <si>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</si>
  <si>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</si>
  <si>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</si>
  <si>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</si>
  <si>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</si>
  <si>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</si>
  <si>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</si>
  <si>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</si>
  <si>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</si>
  <si>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</si>
  <si>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</si>
  <si>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</si>
  <si>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</si>
  <si>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</si>
  <si>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</si>
  <si>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</si>
  <si>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</si>
  <si>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</si>
  <si>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</si>
  <si>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</si>
  <si>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</si>
  <si>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</si>
  <si>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</si>
  <si>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</si>
  <si>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</si>
  <si>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</si>
  <si>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</si>
  <si>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</si>
  <si>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</si>
  <si>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</si>
  <si>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</si>
  <si>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</si>
  <si>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</si>
  <si>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</si>
  <si>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</si>
  <si>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</si>
  <si>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</si>
  <si>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</si>
  <si>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</si>
  <si>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</si>
  <si>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</si>
  <si>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</si>
  <si>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</si>
  <si>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</si>
  <si>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</si>
  <si>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</si>
  <si>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</si>
  <si>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</si>
  <si>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</si>
  <si>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</si>
  <si>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</si>
  <si>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</si>
  <si>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</si>
  <si>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</si>
  <si>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</si>
  <si>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</si>
  <si>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</si>
  <si>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</si>
  <si>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</si>
  <si>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</si>
  <si>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</si>
  <si>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</si>
  <si>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</si>
  <si>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</si>
  <si>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</si>
  <si>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</si>
  <si>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</si>
  <si>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</si>
  <si>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</si>
  <si>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</si>
  <si>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</si>
  <si>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</si>
  <si>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</si>
  <si>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</si>
  <si>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</si>
  <si>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</si>
  <si>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</si>
  <si>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</si>
  <si>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</si>
  <si>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</si>
  <si>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</si>
  <si>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</si>
  <si>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</si>
  <si>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</si>
  <si>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</si>
  <si>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</si>
  <si>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</si>
  <si>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</si>
  <si>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</si>
  <si>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</si>
  <si>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</si>
  <si>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</si>
  <si>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</si>
  <si>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</si>
  <si>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</si>
  <si>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</si>
  <si>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</si>
  <si>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</si>
  <si>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</si>
  <si>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</si>
  <si>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</si>
  <si>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</si>
  <si>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</si>
  <si>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</si>
  <si>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</si>
  <si>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</si>
  <si>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</si>
  <si>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</si>
  <si>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</si>
  <si>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</si>
  <si>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</si>
  <si>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</si>
  <si>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</si>
  <si>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</si>
  <si>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</si>
  <si>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</si>
  <si>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</si>
  <si>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</si>
  <si>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</si>
  <si>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</si>
  <si>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</si>
  <si>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</si>
  <si>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</si>
  <si>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</si>
  <si>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</si>
  <si>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</si>
  <si>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</si>
  <si>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</si>
  <si>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</si>
  <si>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</si>
  <si>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</si>
  <si>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</si>
  <si>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</si>
  <si>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</si>
  <si>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</si>
  <si>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</si>
  <si>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</si>
  <si>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</si>
  <si>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</si>
  <si>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</si>
  <si>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</si>
  <si>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</si>
  <si>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</si>
  <si>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</si>
  <si>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</si>
  <si>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</si>
  <si>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</si>
  <si>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</si>
  <si>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</si>
  <si>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</si>
  <si>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</si>
  <si>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</si>
  <si>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</si>
  <si>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</si>
  <si>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</si>
  <si>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</si>
  <si>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</si>
  <si>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</si>
  <si>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</si>
  <si>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</si>
  <si>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</si>
  <si>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</si>
  <si>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</si>
  <si>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</si>
  <si>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</si>
  <si>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</si>
  <si>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</si>
  <si>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</si>
  <si>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</si>
  <si>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</si>
  <si>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</si>
  <si>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</si>
  <si>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</si>
  <si>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</si>
  <si>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</si>
  <si>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</si>
  <si>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</si>
  <si>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</si>
  <si>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</si>
  <si>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</si>
  <si>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</si>
  <si>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</si>
  <si>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</si>
  <si>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</si>
  <si>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</si>
  <si>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</si>
  <si>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</si>
  <si>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</si>
  <si>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</si>
  <si>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</si>
  <si>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</si>
  <si>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</si>
  <si>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</si>
  <si>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</si>
  <si>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</si>
  <si>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</si>
  <si>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</si>
  <si>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</si>
  <si>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</si>
  <si>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</si>
  <si>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</si>
  <si>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</si>
  <si>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</si>
  <si>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</si>
  <si>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</si>
  <si>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</si>
  <si>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</si>
  <si>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</si>
  <si>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</si>
  <si>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</si>
  <si>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</si>
  <si>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</si>
  <si>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</si>
  <si>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</si>
  <si>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</si>
  <si>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</si>
  <si>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</si>
  <si>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</si>
  <si>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</si>
  <si>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</si>
  <si>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</si>
  <si>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</si>
  <si>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</si>
  <si>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</si>
  <si>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</si>
  <si>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</si>
  <si>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</si>
  <si>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</si>
  <si>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</si>
  <si>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</si>
  <si>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</si>
  <si>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</si>
  <si>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</si>
  <si>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</si>
  <si>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</si>
  <si>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</si>
  <si>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</si>
  <si>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</si>
  <si>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</si>
  <si>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</si>
  <si>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</si>
  <si>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</si>
  <si>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</si>
  <si>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</si>
  <si>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</si>
  <si>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</si>
  <si>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</si>
  <si>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</si>
  <si>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</si>
  <si>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</si>
  <si>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</si>
  <si>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</si>
  <si>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</si>
  <si>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</si>
  <si>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</si>
  <si>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</si>
  <si>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</si>
  <si>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</si>
  <si>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</si>
  <si>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</si>
  <si>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</si>
  <si>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</si>
  <si>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</si>
  <si>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</si>
  <si>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</si>
  <si>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</si>
  <si>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</si>
  <si>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</si>
  <si>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</si>
  <si>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</si>
  <si>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</si>
  <si>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</si>
  <si>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</si>
  <si>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</si>
  <si>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</si>
  <si>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</si>
  <si>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</si>
  <si>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</si>
  <si>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</si>
  <si>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</si>
  <si>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</si>
  <si>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</si>
  <si>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</si>
  <si>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</si>
  <si>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</si>
  <si>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</si>
  <si>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</si>
  <si>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</si>
  <si>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</si>
  <si>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</si>
  <si>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</si>
  <si>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</si>
  <si>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</si>
  <si>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</si>
  <si>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</si>
  <si>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</si>
  <si>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</si>
  <si>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</si>
  <si>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</si>
  <si>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</si>
  <si>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</si>
  <si>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</si>
  <si>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</si>
  <si>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</si>
  <si>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</si>
  <si>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</si>
  <si>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</si>
  <si>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</si>
  <si>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</si>
  <si>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</si>
  <si>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</si>
  <si>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</si>
  <si>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</si>
  <si>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</si>
  <si>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</si>
  <si>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</si>
  <si>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</si>
  <si>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</si>
  <si>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</si>
  <si>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</si>
  <si>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</si>
  <si>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</si>
  <si>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</si>
  <si>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</si>
  <si>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</si>
  <si>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</si>
  <si>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</si>
  <si>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</si>
  <si>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</si>
  <si>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</si>
  <si>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</si>
  <si>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</si>
  <si>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</si>
  <si>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</si>
  <si>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</si>
  <si>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</si>
  <si>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</si>
  <si>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</si>
  <si>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</si>
  <si>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</si>
  <si>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</si>
  <si>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</si>
  <si>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</si>
  <si>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</si>
  <si>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</si>
  <si>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</si>
  <si>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</si>
  <si>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</si>
  <si>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</si>
  <si>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</si>
  <si>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</si>
  <si>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</si>
  <si>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</si>
  <si>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</si>
  <si>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</si>
  <si>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</si>
  <si>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</si>
  <si>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</si>
  <si>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</si>
  <si>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</si>
  <si>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</si>
  <si>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</si>
  <si>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</si>
  <si>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</si>
  <si>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</si>
  <si>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</si>
  <si>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</si>
  <si>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</si>
  <si>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</si>
  <si>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</si>
  <si>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</si>
  <si>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</si>
  <si>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</si>
  <si>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</si>
  <si>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</si>
  <si>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</si>
  <si>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</si>
  <si>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</si>
  <si>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</si>
  <si>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</si>
  <si>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</si>
  <si>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</si>
  <si>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</si>
  <si>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</si>
  <si>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</si>
  <si>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</si>
  <si>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</si>
  <si>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</si>
  <si>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</si>
  <si>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</si>
  <si>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</si>
  <si>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</si>
  <si>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</si>
  <si>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</si>
  <si>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</si>
  <si>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</si>
  <si>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</si>
  <si>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</si>
  <si>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</si>
  <si>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</si>
  <si>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</si>
  <si>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</si>
  <si>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</si>
  <si>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</si>
  <si>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</si>
  <si>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</si>
  <si>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</si>
  <si>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</si>
  <si>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</si>
  <si>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</si>
  <si>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</si>
  <si>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</si>
  <si>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</si>
  <si>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</si>
  <si>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</si>
  <si>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</si>
  <si>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</si>
  <si>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</si>
  <si>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</si>
  <si>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</si>
  <si>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</si>
  <si>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</si>
  <si>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</si>
  <si>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</si>
  <si>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</si>
  <si>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</si>
  <si>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</si>
  <si>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</si>
  <si>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</si>
  <si>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</si>
  <si>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</si>
  <si>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</si>
  <si>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</si>
  <si>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</si>
  <si>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</si>
  <si>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</si>
  <si>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</si>
  <si>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</si>
  <si>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</si>
  <si>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</si>
  <si>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</si>
  <si>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</si>
  <si>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</si>
  <si>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</si>
  <si>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</si>
  <si>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</si>
  <si>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</si>
  <si>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</si>
  <si>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</si>
  <si>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</si>
  <si>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</si>
  <si>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</si>
  <si>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</si>
  <si>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</si>
  <si>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</si>
  <si>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</si>
  <si>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</si>
  <si>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</si>
  <si>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</si>
  <si>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</si>
  <si>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</si>
  <si>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</si>
  <si>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</si>
  <si>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</si>
  <si>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</si>
  <si>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</si>
  <si>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</si>
  <si>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</si>
  <si>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</si>
  <si>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</si>
  <si>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</si>
  <si>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</si>
  <si>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</si>
  <si>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</si>
  <si>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</si>
  <si>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</si>
  <si>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</si>
  <si>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</si>
  <si>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</si>
  <si>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</si>
  <si>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</si>
  <si>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</si>
  <si>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</si>
  <si>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</si>
  <si>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</si>
  <si>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</si>
  <si>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</si>
  <si>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</si>
  <si>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</si>
  <si>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</si>
  <si>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</si>
  <si>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</si>
  <si>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</si>
  <si>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</si>
  <si>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</si>
  <si>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</si>
  <si>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</si>
  <si>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</si>
  <si>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</si>
  <si>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</si>
  <si>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</si>
  <si>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</si>
  <si>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</si>
  <si>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</si>
  <si>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</si>
  <si>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</si>
  <si>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</si>
  <si>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</si>
  <si>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</si>
  <si>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</si>
  <si>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</si>
  <si>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</si>
  <si>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</si>
  <si>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</si>
  <si>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</si>
  <si>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</si>
  <si>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</si>
  <si>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</si>
  <si>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</si>
  <si>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</si>
  <si>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</si>
  <si>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profit</t>
  </si>
  <si>
    <t>Count of Order_ID</t>
  </si>
  <si>
    <t>Sum of Sales</t>
  </si>
  <si>
    <t>Sum of profit</t>
  </si>
  <si>
    <t>Sum of Quantity</t>
  </si>
  <si>
    <t>orders</t>
  </si>
  <si>
    <t>sales</t>
  </si>
  <si>
    <t>quantity</t>
  </si>
  <si>
    <t>Row Labels</t>
  </si>
  <si>
    <t>Grand Total</t>
  </si>
  <si>
    <t>Jan</t>
  </si>
  <si>
    <t>Feb</t>
  </si>
  <si>
    <t>Mar</t>
  </si>
  <si>
    <t>Apr</t>
  </si>
  <si>
    <t>May</t>
  </si>
  <si>
    <t>Jun</t>
  </si>
  <si>
    <t>Jul</t>
  </si>
  <si>
    <t>Aug</t>
  </si>
  <si>
    <t>Sep</t>
  </si>
  <si>
    <t>Oct</t>
  </si>
  <si>
    <t>Nov</t>
  </si>
  <si>
    <t>Dec</t>
  </si>
  <si>
    <t>sales by region</t>
  </si>
  <si>
    <t>profit by category</t>
  </si>
  <si>
    <t>Monthly 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</si>
</sst>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pivot!$B$16</c:f>
              <c:strCache>
                <c:ptCount val="1"/>
                <c:pt idx="0">
                  <c:v>Total</c:v>
                </c:pt>
              </c:strCache>
            </c:strRef>
          </c:tx>
          <c:spPr>
            <a:solidFill>
              <a:schemeClr val="accent1"/>
            </a:solidFill>
            <a:ln>
              <a:noFill/>
            </a:ln>
            <a:effectLst/>
          </c:spPr>
          <c:invertIfNegative val="0"/>
          <c:cat>
            <c:strRef>
              <c:f>pivot!$A$17:$A$21</c:f>
              <c:strCache>
                <c:ptCount val="4"/>
                <c:pt idx="0">
                  <c:v>East</c:v>
                </c:pt>
                <c:pt idx="1">
                  <c:v>North</c:v>
                </c:pt>
                <c:pt idx="2">
                  <c:v>South</c:v>
                </c:pt>
                <c:pt idx="3">
                  <c:v>West</c:v>
                </c:pt>
              </c:strCache>
            </c:strRef>
          </c:cat>
          <c:val>
            <c:numRef>
              <c:f>pivot!$B$17:$B$21</c:f>
              <c:numCache>
                <c:formatCode>General</c:formatCode>
                <c:ptCount val="4"/>
                <c:pt idx="0">
                  <c:v>3538565</c:v>
                </c:pt>
                <c:pt idx="1">
                  <c:v>3787006</c:v>
                </c:pt>
                <c:pt idx="2">
                  <c:v>4050365</c:v>
                </c:pt>
                <c:pt idx="3">
                  <c:v>3615585</c:v>
                </c:pt>
              </c:numCache>
            </c:numRef>
          </c:val>
          <c:extLst>
            <c:ext xmlns:c16="http://schemas.microsoft.com/office/drawing/2014/chart" uri="{C3380CC4-5D6E-409C-BE32-E72D297353CC}">
              <c16:uniqueId val="{00000000-97A8-4F2E-A25B-DF58584BEF4D}"/>
            </c:ext>
          </c:extLst>
        </c:ser>
        <c:dLbls>
          <c:showLegendKey val="0"/>
          <c:showVal val="0"/>
          <c:showCatName val="0"/>
          <c:showSerName val="0"/>
          <c:showPercent val="0"/>
          <c:showBubbleSize val="0"/>
        </c:dLbls>
        <c:gapWidth val="150"/>
        <c:overlap val="100"/>
        <c:axId val="1730609951"/>
        <c:axId val="1730618591"/>
      </c:barChart>
      <c:catAx>
        <c:axId val="173060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618591"/>
        <c:crosses val="autoZero"/>
        <c:auto val="1"/>
        <c:lblAlgn val="ctr"/>
        <c:lblOffset val="100"/>
        <c:noMultiLvlLbl val="0"/>
      </c:catAx>
      <c:valAx>
        <c:axId val="1730618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609951"/>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project.xlsx]pivot!PivotTable3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pivot!$B$41</c:f>
              <c:strCache>
                <c:ptCount val="1"/>
                <c:pt idx="0">
                  <c:v>Total</c:v>
                </c:pt>
              </c:strCache>
            </c:strRef>
          </c:tx>
          <c:spPr>
            <a:solidFill>
              <a:schemeClr val="accent1"/>
            </a:solidFill>
            <a:ln>
              <a:noFill/>
            </a:ln>
            <a:effectLst/>
          </c:spPr>
          <c:invertIfNegative val="0"/>
          <c:cat>
            <c:strRef>
              <c:f>pivot!$A$42:$A$47</c:f>
              <c:strCache>
                <c:ptCount val="5"/>
                <c:pt idx="0">
                  <c:v>Beauty</c:v>
                </c:pt>
                <c:pt idx="1">
                  <c:v>Clothing</c:v>
                </c:pt>
                <c:pt idx="2">
                  <c:v>Sports</c:v>
                </c:pt>
                <c:pt idx="3">
                  <c:v>Electronics</c:v>
                </c:pt>
                <c:pt idx="4">
                  <c:v>Home &amp; Kitchen</c:v>
                </c:pt>
              </c:strCache>
            </c:strRef>
          </c:cat>
          <c:val>
            <c:numRef>
              <c:f>pivot!$B$42:$B$47</c:f>
              <c:numCache>
                <c:formatCode>General</c:formatCode>
                <c:ptCount val="5"/>
                <c:pt idx="0">
                  <c:v>862157</c:v>
                </c:pt>
                <c:pt idx="1">
                  <c:v>780386</c:v>
                </c:pt>
                <c:pt idx="2">
                  <c:v>716981</c:v>
                </c:pt>
                <c:pt idx="3">
                  <c:v>711010</c:v>
                </c:pt>
                <c:pt idx="4">
                  <c:v>671817</c:v>
                </c:pt>
              </c:numCache>
            </c:numRef>
          </c:val>
          <c:extLst>
            <c:ext xmlns:c16="http://schemas.microsoft.com/office/drawing/2014/chart" uri="{C3380CC4-5D6E-409C-BE32-E72D297353CC}">
              <c16:uniqueId val="{00000000-D6D3-40EA-946A-DD29889613D9}"/>
            </c:ext>
          </c:extLst>
        </c:ser>
        <c:dLbls>
          <c:showLegendKey val="0"/>
          <c:showVal val="0"/>
          <c:showCatName val="0"/>
          <c:showSerName val="0"/>
          <c:showPercent val="0"/>
          <c:showBubbleSize val="0"/>
        </c:dLbls>
        <c:gapWidth val="150"/>
        <c:overlap val="100"/>
        <c:axId val="1742406335"/>
        <c:axId val="1742407295"/>
      </c:barChart>
      <c:catAx>
        <c:axId val="1742406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407295"/>
        <c:crosses val="autoZero"/>
        <c:auto val="1"/>
        <c:lblAlgn val="ctr"/>
        <c:lblOffset val="100"/>
        <c:noMultiLvlLbl val="0"/>
      </c:catAx>
      <c:valAx>
        <c:axId val="1742407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406335"/>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project.xlsx]pivot!PivotTable4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pivot!$B$63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pivot!$A$64:$A$76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pivot!$B$64:$B$76</c:f>
              <c:numCache>
                <c:formatCode>General</c:formatCode>
                <c:ptCount val="12"/>
                <c:pt idx="0">
                  <c:v>1613284</c:v>
                </c:pt>
                <c:pt idx="1">
                  <c:v>1096645</c:v>
                </c:pt>
                <c:pt idx="2">
                  <c:v>1198348</c:v>
                </c:pt>
                <c:pt idx="3">
                  <c:v>1358464</c:v>
                </c:pt>
                <c:pt idx="4">
                  <c:v>1233497</c:v>
                </c:pt>
                <c:pt idx="5">
                  <c:v>1156197</c:v>
                </c:pt>
                <c:pt idx="6">
                  <c:v>1254561</c:v>
                </c:pt>
                <c:pt idx="7">
                  <c:v>987609</c:v>
                </c:pt>
                <c:pt idx="8">
                  <c:v>1201749</c:v>
                </c:pt>
                <c:pt idx="9">
                  <c:v>1296629</c:v>
                </c:pt>
                <c:pt idx="10">
                  <c:v>1310826</c:v>
                </c:pt>
                <c:pt idx="11">
                  <c:v>1283712</c:v>
                </c:pt>
              </c:numCache>
            </c:numRef>
          </c:val>
          <c:smooth val="0"/>
          <c:extLst>
            <c:ext xmlns:c16="http://schemas.microsoft.com/office/drawing/2014/chart" uri="{C3380CC4-5D6E-409C-BE32-E72D297353CC}">
              <c16:uniqueId val="{00000000-B9CD-4E07-8F9E-79F42CE032B5}"/>
            </c:ext>
          </c:extLst>
        </c:ser>
        <c:dLbls>
          <c:showLegendKey val="0"/>
          <c:showVal val="0"/>
          <c:showCatName val="0"/>
          <c:showSerName val="0"/>
          <c:showPercent val="0"/>
          <c:showBubbleSize val="0"/>
        </c:dLbls>
        <c:marker val="1"/>
        <c:smooth val="0"/>
        <c:axId val="374431855"/>
        <c:axId val="374439055"/>
      </c:lineChart>
      <c:catAx>
        <c:axId val="37443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39055"/>
        <c:crosses val="autoZero"/>
        <c:auto val="1"/>
        <c:lblAlgn val="ctr"/>
        <c:lblOffset val="100"/>
        <c:noMultiLvlLbl val="0"/>
      </c:catAx>
      <c:valAx>
        <c:axId val="374439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31855"/>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project.xlsx]pivot!PivotTable5</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9485871603659808"/>
          <c:y val="0.17650814687767991"/>
          <c:w val="0.4455672511665793"/>
          <c:h val="0.68765143837218368"/>
        </c:manualLayout>
      </c:layout>
      <c:doughnutChart>
        <c:varyColors val="1"/>
        <c:ser>
          <c:idx val="0"/>
          <c:order val="0"/>
          <c:tx>
            <c:strRef>
              <c:f>pivot!$B$89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F8-41F6-BD3A-CFC6C6B7AC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F8-41F6-BD3A-CFC6C6B7AC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F8-41F6-BD3A-CFC6C6B7AC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F8-41F6-BD3A-CFC6C6B7AC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pivot!$A$90:$A$94</c:f>
              <c:strCache>
                <c:ptCount val="4"/>
                <c:pt idx="0">
                  <c:v>Cash on Delivery</c:v>
                </c:pt>
                <c:pt idx="1">
                  <c:v>Credit Card</c:v>
                </c:pt>
                <c:pt idx="2">
                  <c:v>Debit Card</c:v>
                </c:pt>
                <c:pt idx="3">
                  <c:v>UPI</c:v>
                </c:pt>
              </c:strCache>
            </c:strRef>
          </c:cat>
          <c:val>
            <c:numRef>
              <c:f>pivot!$B$90:$B$94</c:f>
              <c:numCache>
                <c:formatCode>General</c:formatCode>
                <c:ptCount val="4"/>
                <c:pt idx="0">
                  <c:v>3818055</c:v>
                </c:pt>
                <c:pt idx="1">
                  <c:v>3673184</c:v>
                </c:pt>
                <c:pt idx="2">
                  <c:v>3653871</c:v>
                </c:pt>
                <c:pt idx="3">
                  <c:v>3846411</c:v>
                </c:pt>
              </c:numCache>
            </c:numRef>
          </c:val>
          <c:extLst>
            <c:ext xmlns:c16="http://schemas.microsoft.com/office/drawing/2014/chart" uri="{C3380CC4-5D6E-409C-BE32-E72D297353CC}">
              <c16:uniqueId val="{00000000-E0B3-4884-A90A-7E48ED0A808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project.xlsx]pivot!PivotTable6</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pivot!$B$114</c:f>
              <c:strCache>
                <c:ptCount val="1"/>
                <c:pt idx="0">
                  <c:v>Sum of Sales</c:v>
                </c:pt>
              </c:strCache>
            </c:strRef>
          </c:tx>
          <c:spPr>
            <a:solidFill>
              <a:schemeClr val="accent1"/>
            </a:solidFill>
            <a:ln>
              <a:noFill/>
            </a:ln>
            <a:effectLst/>
          </c:spPr>
          <c:invertIfNegative val="0"/>
          <c:cat>
            <c:strRef>
              <c:f>pivot!$A$115:$A$120</c:f>
              <c:strCache>
                <c:ptCount val="5"/>
                <c:pt idx="0">
                  <c:v>Beauty</c:v>
                </c:pt>
                <c:pt idx="1">
                  <c:v>Clothing</c:v>
                </c:pt>
                <c:pt idx="2">
                  <c:v>Electronics</c:v>
                </c:pt>
                <c:pt idx="3">
                  <c:v>Home &amp; Kitchen</c:v>
                </c:pt>
                <c:pt idx="4">
                  <c:v>Sports</c:v>
                </c:pt>
              </c:strCache>
            </c:strRef>
          </c:cat>
          <c:val>
            <c:numRef>
              <c:f>pivot!$B$115:$B$120</c:f>
              <c:numCache>
                <c:formatCode>General</c:formatCode>
                <c:ptCount val="5"/>
                <c:pt idx="0">
                  <c:v>3326568</c:v>
                </c:pt>
                <c:pt idx="1">
                  <c:v>3153526</c:v>
                </c:pt>
                <c:pt idx="2">
                  <c:v>2909510</c:v>
                </c:pt>
                <c:pt idx="3">
                  <c:v>2723200</c:v>
                </c:pt>
                <c:pt idx="4">
                  <c:v>2878717</c:v>
                </c:pt>
              </c:numCache>
            </c:numRef>
          </c:val>
          <c:extLst>
            <c:ext xmlns:c16="http://schemas.microsoft.com/office/drawing/2014/chart" uri="{C3380CC4-5D6E-409C-BE32-E72D297353CC}">
              <c16:uniqueId val="{00000000-37CE-4C9E-A971-6D595F767236}"/>
            </c:ext>
          </c:extLst>
        </c:ser>
        <c:dLbls>
          <c:showLegendKey val="0"/>
          <c:showVal val="0"/>
          <c:showCatName val="0"/>
          <c:showSerName val="0"/>
          <c:showPercent val="0"/>
          <c:showBubbleSize val="0"/>
        </c:dLbls>
        <c:gapWidth val="219"/>
        <c:overlap val="-27"/>
        <c:axId val="372401439"/>
        <c:axId val="372401919"/>
      </c:barChart>
      <c:lineChart>
        <c:grouping val="standard"/>
        <c:varyColors val="0"/>
        <c:ser>
          <c:idx val="1"/>
          <c:order val="1"/>
          <c:tx>
            <c:strRef>
              <c:f>pivot!$C$114</c:f>
              <c:strCache>
                <c:ptCount val="1"/>
                <c:pt idx="0">
                  <c:v>Sum of profit</c:v>
                </c:pt>
              </c:strCache>
            </c:strRef>
          </c:tx>
          <c:spPr>
            <a:ln w="28575" cap="rnd">
              <a:solidFill>
                <a:schemeClr val="accent2"/>
              </a:solidFill>
              <a:round/>
            </a:ln>
            <a:effectLst/>
          </c:spPr>
          <c:marker>
            <c:symbol val="none"/>
          </c:marker>
          <c:cat>
            <c:strRef>
              <c:f>pivot!$A$115:$A$120</c:f>
              <c:strCache>
                <c:ptCount val="5"/>
                <c:pt idx="0">
                  <c:v>Beauty</c:v>
                </c:pt>
                <c:pt idx="1">
                  <c:v>Clothing</c:v>
                </c:pt>
                <c:pt idx="2">
                  <c:v>Electronics</c:v>
                </c:pt>
                <c:pt idx="3">
                  <c:v>Home &amp; Kitchen</c:v>
                </c:pt>
                <c:pt idx="4">
                  <c:v>Sports</c:v>
                </c:pt>
              </c:strCache>
            </c:strRef>
          </c:cat>
          <c:val>
            <c:numRef>
              <c:f>pivot!$C$115:$C$120</c:f>
              <c:numCache>
                <c:formatCode>General</c:formatCode>
                <c:ptCount val="5"/>
                <c:pt idx="0">
                  <c:v>862157</c:v>
                </c:pt>
                <c:pt idx="1">
                  <c:v>780386</c:v>
                </c:pt>
                <c:pt idx="2">
                  <c:v>711010</c:v>
                </c:pt>
                <c:pt idx="3">
                  <c:v>671817</c:v>
                </c:pt>
                <c:pt idx="4">
                  <c:v>716981</c:v>
                </c:pt>
              </c:numCache>
            </c:numRef>
          </c:val>
          <c:smooth val="0"/>
          <c:extLst>
            <c:ext xmlns:c16="http://schemas.microsoft.com/office/drawing/2014/chart" uri="{C3380CC4-5D6E-409C-BE32-E72D297353CC}">
              <c16:uniqueId val="{00000001-37CE-4C9E-A971-6D595F767236}"/>
            </c:ext>
          </c:extLst>
        </c:ser>
        <c:dLbls>
          <c:showLegendKey val="0"/>
          <c:showVal val="0"/>
          <c:showCatName val="0"/>
          <c:showSerName val="0"/>
          <c:showPercent val="0"/>
          <c:showBubbleSize val="0"/>
        </c:dLbls>
        <c:marker val="1"/>
        <c:smooth val="0"/>
        <c:axId val="387617455"/>
        <c:axId val="387623215"/>
      </c:lineChart>
      <c:catAx>
        <c:axId val="37240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401919"/>
        <c:crosses val="autoZero"/>
        <c:auto val="1"/>
        <c:lblAlgn val="ctr"/>
        <c:lblOffset val="100"/>
        <c:noMultiLvlLbl val="0"/>
      </c:catAx>
      <c:valAx>
        <c:axId val="372401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401439"/>
        <c:crosses val="autoZero"/>
        <c:crossBetween val="between"/>
        <c:dispUnits>
          <c:builtInUnit val="thousands"/>
        </c:dispUnits>
      </c:valAx>
      <c:valAx>
        <c:axId val="3876232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617455"/>
        <c:crosses val="max"/>
        <c:crossBetween val="between"/>
        <c:dispUnits>
          <c:builtInUnit val="thousands"/>
        </c:dispUnits>
      </c:valAx>
      <c:catAx>
        <c:axId val="387617455"/>
        <c:scaling>
          <c:orientation val="minMax"/>
        </c:scaling>
        <c:delete val="1"/>
        <c:axPos val="b"/>
        <c:numFmt formatCode="General" sourceLinked="1"/>
        <c:majorTickMark val="out"/>
        <c:minorTickMark val="none"/>
        <c:tickLblPos val="nextTo"/>
        <c:crossAx val="3876232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project.xlsx]pivot!PivotTable2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17239585139963"/>
          <c:y val="0.16640589281178561"/>
          <c:w val="0.84982760414860026"/>
          <c:h val="0.72408115461539846"/>
        </c:manualLayout>
      </c:layout>
      <c:barChart>
        <c:barDir val="col"/>
        <c:grouping val="stacked"/>
        <c:varyColors val="0"/>
        <c:ser>
          <c:idx val="0"/>
          <c:order val="0"/>
          <c:tx>
            <c:strRef>
              <c:f>pivot!$B$16</c:f>
              <c:strCache>
                <c:ptCount val="1"/>
                <c:pt idx="0">
                  <c:v>Total</c:v>
                </c:pt>
              </c:strCache>
            </c:strRef>
          </c:tx>
          <c:spPr>
            <a:solidFill>
              <a:schemeClr val="accent1"/>
            </a:solidFill>
            <a:ln>
              <a:noFill/>
            </a:ln>
            <a:effectLst/>
          </c:spPr>
          <c:invertIfNegative val="0"/>
          <c:cat>
            <c:strRef>
              <c:f>pivot!$A$17:$A$21</c:f>
              <c:strCache>
                <c:ptCount val="4"/>
                <c:pt idx="0">
                  <c:v>East</c:v>
                </c:pt>
                <c:pt idx="1">
                  <c:v>North</c:v>
                </c:pt>
                <c:pt idx="2">
                  <c:v>South</c:v>
                </c:pt>
                <c:pt idx="3">
                  <c:v>West</c:v>
                </c:pt>
              </c:strCache>
            </c:strRef>
          </c:cat>
          <c:val>
            <c:numRef>
              <c:f>pivot!$B$17:$B$21</c:f>
              <c:numCache>
                <c:formatCode>General</c:formatCode>
                <c:ptCount val="4"/>
                <c:pt idx="0">
                  <c:v>3538565</c:v>
                </c:pt>
                <c:pt idx="1">
                  <c:v>3787006</c:v>
                </c:pt>
                <c:pt idx="2">
                  <c:v>4050365</c:v>
                </c:pt>
                <c:pt idx="3">
                  <c:v>3615585</c:v>
                </c:pt>
              </c:numCache>
            </c:numRef>
          </c:val>
          <c:extLst>
            <c:ext xmlns:c16="http://schemas.microsoft.com/office/drawing/2014/chart" uri="{C3380CC4-5D6E-409C-BE32-E72D297353CC}">
              <c16:uniqueId val="{00000000-F640-4E78-8D38-B27A428CD698}"/>
            </c:ext>
          </c:extLst>
        </c:ser>
        <c:dLbls>
          <c:showLegendKey val="0"/>
          <c:showVal val="0"/>
          <c:showCatName val="0"/>
          <c:showSerName val="0"/>
          <c:showPercent val="0"/>
          <c:showBubbleSize val="0"/>
        </c:dLbls>
        <c:gapWidth val="150"/>
        <c:overlap val="100"/>
        <c:axId val="1730609951"/>
        <c:axId val="1730618591"/>
      </c:barChart>
      <c:catAx>
        <c:axId val="1730609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618591"/>
        <c:crosses val="autoZero"/>
        <c:auto val="1"/>
        <c:lblAlgn val="ctr"/>
        <c:lblOffset val="100"/>
        <c:noMultiLvlLbl val="0"/>
      </c:catAx>
      <c:valAx>
        <c:axId val="1730618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609951"/>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project.xlsx]pivot!PivotTable3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673376471505418"/>
          <c:y val="0.20300613496932518"/>
          <c:w val="0.61244473536236566"/>
          <c:h val="0.63013332689242063"/>
        </c:manualLayout>
      </c:layout>
      <c:barChart>
        <c:barDir val="bar"/>
        <c:grouping val="stacked"/>
        <c:varyColors val="0"/>
        <c:ser>
          <c:idx val="0"/>
          <c:order val="0"/>
          <c:tx>
            <c:strRef>
              <c:f>pivot!$B$41</c:f>
              <c:strCache>
                <c:ptCount val="1"/>
                <c:pt idx="0">
                  <c:v>Total</c:v>
                </c:pt>
              </c:strCache>
            </c:strRef>
          </c:tx>
          <c:spPr>
            <a:solidFill>
              <a:schemeClr val="accent1"/>
            </a:solidFill>
            <a:ln>
              <a:noFill/>
            </a:ln>
            <a:effectLst/>
          </c:spPr>
          <c:invertIfNegative val="0"/>
          <c:cat>
            <c:strRef>
              <c:f>pivot!$A$42:$A$47</c:f>
              <c:strCache>
                <c:ptCount val="5"/>
                <c:pt idx="0">
                  <c:v>Beauty</c:v>
                </c:pt>
                <c:pt idx="1">
                  <c:v>Clothing</c:v>
                </c:pt>
                <c:pt idx="2">
                  <c:v>Sports</c:v>
                </c:pt>
                <c:pt idx="3">
                  <c:v>Electronics</c:v>
                </c:pt>
                <c:pt idx="4">
                  <c:v>Home &amp; Kitchen</c:v>
                </c:pt>
              </c:strCache>
            </c:strRef>
          </c:cat>
          <c:val>
            <c:numRef>
              <c:f>pivot!$B$42:$B$47</c:f>
              <c:numCache>
                <c:formatCode>General</c:formatCode>
                <c:ptCount val="5"/>
                <c:pt idx="0">
                  <c:v>862157</c:v>
                </c:pt>
                <c:pt idx="1">
                  <c:v>780386</c:v>
                </c:pt>
                <c:pt idx="2">
                  <c:v>716981</c:v>
                </c:pt>
                <c:pt idx="3">
                  <c:v>711010</c:v>
                </c:pt>
                <c:pt idx="4">
                  <c:v>671817</c:v>
                </c:pt>
              </c:numCache>
            </c:numRef>
          </c:val>
          <c:extLst>
            <c:ext xmlns:c16="http://schemas.microsoft.com/office/drawing/2014/chart" uri="{C3380CC4-5D6E-409C-BE32-E72D297353CC}">
              <c16:uniqueId val="{00000000-EF5E-4563-B58A-63566C36F490}"/>
            </c:ext>
          </c:extLst>
        </c:ser>
        <c:dLbls>
          <c:showLegendKey val="0"/>
          <c:showVal val="0"/>
          <c:showCatName val="0"/>
          <c:showSerName val="0"/>
          <c:showPercent val="0"/>
          <c:showBubbleSize val="0"/>
        </c:dLbls>
        <c:gapWidth val="150"/>
        <c:overlap val="100"/>
        <c:axId val="1742406335"/>
        <c:axId val="1742407295"/>
      </c:barChart>
      <c:catAx>
        <c:axId val="1742406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407295"/>
        <c:crosses val="autoZero"/>
        <c:auto val="1"/>
        <c:lblAlgn val="ctr"/>
        <c:lblOffset val="100"/>
        <c:noMultiLvlLbl val="0"/>
      </c:catAx>
      <c:valAx>
        <c:axId val="1742407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406335"/>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project.xlsx]pivot!PivotTable4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88216180271131"/>
          <c:y val="0.26953323197712675"/>
          <c:w val="0.83996684624948192"/>
          <c:h val="0.62201713030385308"/>
        </c:manualLayout>
      </c:layout>
      <c:lineChart>
        <c:grouping val="standard"/>
        <c:varyColors val="0"/>
        <c:ser>
          <c:idx val="0"/>
          <c:order val="0"/>
          <c:tx>
            <c:strRef>
              <c:f>pivot!$B$63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pivot!$A$64:$A$76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pivot!$B$64:$B$76</c:f>
              <c:numCache>
                <c:formatCode>General</c:formatCode>
                <c:ptCount val="12"/>
                <c:pt idx="0">
                  <c:v>1613284</c:v>
                </c:pt>
                <c:pt idx="1">
                  <c:v>1096645</c:v>
                </c:pt>
                <c:pt idx="2">
                  <c:v>1198348</c:v>
                </c:pt>
                <c:pt idx="3">
                  <c:v>1358464</c:v>
                </c:pt>
                <c:pt idx="4">
                  <c:v>1233497</c:v>
                </c:pt>
                <c:pt idx="5">
                  <c:v>1156197</c:v>
                </c:pt>
                <c:pt idx="6">
                  <c:v>1254561</c:v>
                </c:pt>
                <c:pt idx="7">
                  <c:v>987609</c:v>
                </c:pt>
                <c:pt idx="8">
                  <c:v>1201749</c:v>
                </c:pt>
                <c:pt idx="9">
                  <c:v>1296629</c:v>
                </c:pt>
                <c:pt idx="10">
                  <c:v>1310826</c:v>
                </c:pt>
                <c:pt idx="11">
                  <c:v>1283712</c:v>
                </c:pt>
              </c:numCache>
            </c:numRef>
          </c:val>
          <c:smooth val="0"/>
          <c:extLst>
            <c:ext xmlns:c16="http://schemas.microsoft.com/office/drawing/2014/chart" uri="{C3380CC4-5D6E-409C-BE32-E72D297353CC}">
              <c16:uniqueId val="{00000000-AEED-45EB-AE93-335647AC167D}"/>
            </c:ext>
          </c:extLst>
        </c:ser>
        <c:dLbls>
          <c:showLegendKey val="0"/>
          <c:showVal val="0"/>
          <c:showCatName val="0"/>
          <c:showSerName val="0"/>
          <c:showPercent val="0"/>
          <c:showBubbleSize val="0"/>
        </c:dLbls>
        <c:marker val="1"/>
        <c:smooth val="0"/>
        <c:axId val="374431855"/>
        <c:axId val="374439055"/>
      </c:lineChart>
      <c:catAx>
        <c:axId val="37443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39055"/>
        <c:crosses val="autoZero"/>
        <c:auto val="1"/>
        <c:lblAlgn val="ctr"/>
        <c:lblOffset val="100"/>
        <c:noMultiLvlLbl val="0"/>
      </c:catAx>
      <c:valAx>
        <c:axId val="374439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31855"/>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project.xlsx]pivot!PivotTable6</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pivot!$B$114</c:f>
              <c:strCache>
                <c:ptCount val="1"/>
                <c:pt idx="0">
                  <c:v>Sum of Sales</c:v>
                </c:pt>
              </c:strCache>
            </c:strRef>
          </c:tx>
          <c:spPr>
            <a:solidFill>
              <a:schemeClr val="accent1"/>
            </a:solidFill>
            <a:ln>
              <a:noFill/>
            </a:ln>
            <a:effectLst/>
          </c:spPr>
          <c:invertIfNegative val="0"/>
          <c:cat>
            <c:strRef>
              <c:f>pivot!$A$115:$A$120</c:f>
              <c:strCache>
                <c:ptCount val="5"/>
                <c:pt idx="0">
                  <c:v>Beauty</c:v>
                </c:pt>
                <c:pt idx="1">
                  <c:v>Clothing</c:v>
                </c:pt>
                <c:pt idx="2">
                  <c:v>Electronics</c:v>
                </c:pt>
                <c:pt idx="3">
                  <c:v>Home &amp; Kitchen</c:v>
                </c:pt>
                <c:pt idx="4">
                  <c:v>Sports</c:v>
                </c:pt>
              </c:strCache>
            </c:strRef>
          </c:cat>
          <c:val>
            <c:numRef>
              <c:f>pivot!$B$115:$B$120</c:f>
              <c:numCache>
                <c:formatCode>General</c:formatCode>
                <c:ptCount val="5"/>
                <c:pt idx="0">
                  <c:v>3326568</c:v>
                </c:pt>
                <c:pt idx="1">
                  <c:v>3153526</c:v>
                </c:pt>
                <c:pt idx="2">
                  <c:v>2909510</c:v>
                </c:pt>
                <c:pt idx="3">
                  <c:v>2723200</c:v>
                </c:pt>
                <c:pt idx="4">
                  <c:v>2878717</c:v>
                </c:pt>
              </c:numCache>
            </c:numRef>
          </c:val>
          <c:extLst>
            <c:ext xmlns:c16="http://schemas.microsoft.com/office/drawing/2014/chart" uri="{C3380CC4-5D6E-409C-BE32-E72D297353CC}">
              <c16:uniqueId val="{00000000-65E5-4FE8-82D7-33B669B74FCC}"/>
            </c:ext>
          </c:extLst>
        </c:ser>
        <c:dLbls>
          <c:showLegendKey val="0"/>
          <c:showVal val="0"/>
          <c:showCatName val="0"/>
          <c:showSerName val="0"/>
          <c:showPercent val="0"/>
          <c:showBubbleSize val="0"/>
        </c:dLbls>
        <c:gapWidth val="219"/>
        <c:overlap val="-27"/>
        <c:axId val="372401439"/>
        <c:axId val="372401919"/>
      </c:barChart>
      <c:lineChart>
        <c:grouping val="standard"/>
        <c:varyColors val="0"/>
        <c:ser>
          <c:idx val="1"/>
          <c:order val="1"/>
          <c:tx>
            <c:strRef>
              <c:f>pivot!$C$114</c:f>
              <c:strCache>
                <c:ptCount val="1"/>
                <c:pt idx="0">
                  <c:v>Sum of profit</c:v>
                </c:pt>
              </c:strCache>
            </c:strRef>
          </c:tx>
          <c:spPr>
            <a:ln w="28575" cap="rnd">
              <a:solidFill>
                <a:schemeClr val="accent2"/>
              </a:solidFill>
              <a:round/>
            </a:ln>
            <a:effectLst/>
          </c:spPr>
          <c:marker>
            <c:symbol val="none"/>
          </c:marker>
          <c:cat>
            <c:strRef>
              <c:f>pivot!$A$115:$A$120</c:f>
              <c:strCache>
                <c:ptCount val="5"/>
                <c:pt idx="0">
                  <c:v>Beauty</c:v>
                </c:pt>
                <c:pt idx="1">
                  <c:v>Clothing</c:v>
                </c:pt>
                <c:pt idx="2">
                  <c:v>Electronics</c:v>
                </c:pt>
                <c:pt idx="3">
                  <c:v>Home &amp; Kitchen</c:v>
                </c:pt>
                <c:pt idx="4">
                  <c:v>Sports</c:v>
                </c:pt>
              </c:strCache>
            </c:strRef>
          </c:cat>
          <c:val>
            <c:numRef>
              <c:f>pivot!$C$115:$C$120</c:f>
              <c:numCache>
                <c:formatCode>General</c:formatCode>
                <c:ptCount val="5"/>
                <c:pt idx="0">
                  <c:v>862157</c:v>
                </c:pt>
                <c:pt idx="1">
                  <c:v>780386</c:v>
                </c:pt>
                <c:pt idx="2">
                  <c:v>711010</c:v>
                </c:pt>
                <c:pt idx="3">
                  <c:v>671817</c:v>
                </c:pt>
                <c:pt idx="4">
                  <c:v>716981</c:v>
                </c:pt>
              </c:numCache>
            </c:numRef>
          </c:val>
          <c:smooth val="0"/>
          <c:extLst>
            <c:ext xmlns:c16="http://schemas.microsoft.com/office/drawing/2014/chart" uri="{C3380CC4-5D6E-409C-BE32-E72D297353CC}">
              <c16:uniqueId val="{00000001-65E5-4FE8-82D7-33B669B74FCC}"/>
            </c:ext>
          </c:extLst>
        </c:ser>
        <c:dLbls>
          <c:showLegendKey val="0"/>
          <c:showVal val="0"/>
          <c:showCatName val="0"/>
          <c:showSerName val="0"/>
          <c:showPercent val="0"/>
          <c:showBubbleSize val="0"/>
        </c:dLbls>
        <c:marker val="1"/>
        <c:smooth val="0"/>
        <c:axId val="387617455"/>
        <c:axId val="387623215"/>
      </c:lineChart>
      <c:catAx>
        <c:axId val="37240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401919"/>
        <c:crosses val="autoZero"/>
        <c:auto val="1"/>
        <c:lblAlgn val="ctr"/>
        <c:lblOffset val="100"/>
        <c:noMultiLvlLbl val="0"/>
      </c:catAx>
      <c:valAx>
        <c:axId val="372401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401439"/>
        <c:crosses val="autoZero"/>
        <c:crossBetween val="between"/>
        <c:dispUnits>
          <c:builtInUnit val="thousands"/>
        </c:dispUnits>
      </c:valAx>
      <c:valAx>
        <c:axId val="3876232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617455"/>
        <c:crosses val="max"/>
        <c:crossBetween val="between"/>
        <c:dispUnits>
          <c:builtInUnit val="thousands"/>
        </c:dispUnits>
      </c:valAx>
      <c:catAx>
        <c:axId val="387617455"/>
        <c:scaling>
          <c:orientation val="minMax"/>
        </c:scaling>
        <c:delete val="1"/>
        <c:axPos val="b"/>
        <c:numFmt formatCode="General" sourceLinked="1"/>
        <c:majorTickMark val="out"/>
        <c:minorTickMark val="none"/>
        <c:tickLblPos val="nextTo"/>
        <c:crossAx val="3876232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project.xlsx]pivot!PivotTable5</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mode</a:t>
            </a:r>
            <a:endParaRPr lang="en-US"/>
          </a:p>
        </c:rich>
      </c:tx>
      <c:layout>
        <c:manualLayout>
          <c:xMode val="edge"/>
          <c:yMode val="edge"/>
          <c:x val="0.13528150134048259"/>
          <c:y val="3.52941176470588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21979185577674104"/>
          <c:y val="0.15396981627296588"/>
          <c:w val="0.55816765531654389"/>
          <c:h val="0.61963254593175854"/>
        </c:manualLayout>
      </c:layout>
      <c:doughnutChart>
        <c:varyColors val="1"/>
        <c:ser>
          <c:idx val="0"/>
          <c:order val="0"/>
          <c:tx>
            <c:strRef>
              <c:f>pivot!$B$89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EB-4BF6-BFBF-1D8B476521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EB-4BF6-BFBF-1D8B476521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EB-4BF6-BFBF-1D8B476521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EB-4BF6-BFBF-1D8B476521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pivot!$A$90:$A$94</c:f>
              <c:strCache>
                <c:ptCount val="4"/>
                <c:pt idx="0">
                  <c:v>Cash on Delivery</c:v>
                </c:pt>
                <c:pt idx="1">
                  <c:v>Credit Card</c:v>
                </c:pt>
                <c:pt idx="2">
                  <c:v>Debit Card</c:v>
                </c:pt>
                <c:pt idx="3">
                  <c:v>UPI</c:v>
                </c:pt>
              </c:strCache>
            </c:strRef>
          </c:cat>
          <c:val>
            <c:numRef>
              <c:f>pivot!$B$90:$B$94</c:f>
              <c:numCache>
                <c:formatCode>General</c:formatCode>
                <c:ptCount val="4"/>
                <c:pt idx="0">
                  <c:v>3818055</c:v>
                </c:pt>
                <c:pt idx="1">
                  <c:v>3673184</c:v>
                </c:pt>
                <c:pt idx="2">
                  <c:v>3653871</c:v>
                </c:pt>
                <c:pt idx="3">
                  <c:v>3846411</c:v>
                </c:pt>
              </c:numCache>
            </c:numRef>
          </c:val>
          <c:extLst>
            <c:ext xmlns:c16="http://schemas.microsoft.com/office/drawing/2014/chart" uri="{C3380CC4-5D6E-409C-BE32-E72D297353CC}">
              <c16:uniqueId val="{00000008-C6EB-4BF6-BFBF-1D8B4765213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682625</xdr:colOff>
      <xdr:row>14</xdr:row>
      <xdr:rowOff>127000</xdr:rowOff>
    </xdr:from>
    <xdr:to>
      <xdr:col>10</xdr:col>
      <xdr:colOff>581025</xdr:colOff>
      <xdr:row>29</xdr:row>
      <xdr:rowOff>139700</xdr:rowOff>
    </xdr:to>
    <xdr:graphicFrame macro="">
      <xdr:nvGraphicFramePr>
        <xdr:cNvPr id="2" name="Chart 1">
          <a:extLst>
            <a:ext uri="{FF2B5EF4-FFF2-40B4-BE49-F238E27FC236}">
              <a16:creationId xmlns:a16="http://schemas.microsoft.com/office/drawing/2014/main" id="{06C7D305-08E5-E90E-0891-1F333A946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800099</xdr:colOff>
      <xdr:row>40</xdr:row>
      <xdr:rowOff>44450</xdr:rowOff>
    </xdr:from>
    <xdr:to>
      <xdr:col>10</xdr:col>
      <xdr:colOff>31750</xdr:colOff>
      <xdr:row>53</xdr:row>
      <xdr:rowOff>12700</xdr:rowOff>
    </xdr:to>
    <xdr:graphicFrame macro="">
      <xdr:nvGraphicFramePr>
        <xdr:cNvPr id="3" name="Chart 2">
          <a:extLst>
            <a:ext uri="{FF2B5EF4-FFF2-40B4-BE49-F238E27FC236}">
              <a16:creationId xmlns:a16="http://schemas.microsoft.com/office/drawing/2014/main" id="{D4880C53-1CA0-0220-1347-9A71E6195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92075</xdr:colOff>
      <xdr:row>63</xdr:row>
      <xdr:rowOff>82550</xdr:rowOff>
    </xdr:from>
    <xdr:to>
      <xdr:col>11</xdr:col>
      <xdr:colOff>396875</xdr:colOff>
      <xdr:row>78</xdr:row>
      <xdr:rowOff>63500</xdr:rowOff>
    </xdr:to>
    <xdr:graphicFrame macro="">
      <xdr:nvGraphicFramePr>
        <xdr:cNvPr id="4" name="Chart 3">
          <a:extLst>
            <a:ext uri="{FF2B5EF4-FFF2-40B4-BE49-F238E27FC236}">
              <a16:creationId xmlns:a16="http://schemas.microsoft.com/office/drawing/2014/main" id="{B307AFA7-8C9C-75FB-22DF-95F01B2CA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31750</xdr:colOff>
      <xdr:row>87</xdr:row>
      <xdr:rowOff>69850</xdr:rowOff>
    </xdr:from>
    <xdr:to>
      <xdr:col>9</xdr:col>
      <xdr:colOff>533400</xdr:colOff>
      <xdr:row>101</xdr:row>
      <xdr:rowOff>57150</xdr:rowOff>
    </xdr:to>
    <xdr:graphicFrame macro="">
      <xdr:nvGraphicFramePr>
        <xdr:cNvPr id="5" name="Chart 4">
          <a:extLst>
            <a:ext uri="{FF2B5EF4-FFF2-40B4-BE49-F238E27FC236}">
              <a16:creationId xmlns:a16="http://schemas.microsoft.com/office/drawing/2014/main" id="{BB23723E-8E37-F9C3-F1A8-A413D0AF1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276225</xdr:colOff>
      <xdr:row>112</xdr:row>
      <xdr:rowOff>101600</xdr:rowOff>
    </xdr:from>
    <xdr:to>
      <xdr:col>10</xdr:col>
      <xdr:colOff>520700</xdr:colOff>
      <xdr:row>127</xdr:row>
      <xdr:rowOff>82550</xdr:rowOff>
    </xdr:to>
    <xdr:graphicFrame macro="">
      <xdr:nvGraphicFramePr>
        <xdr:cNvPr id="6" name="Chart 5">
          <a:extLst>
            <a:ext uri="{FF2B5EF4-FFF2-40B4-BE49-F238E27FC236}">
              <a16:creationId xmlns:a16="http://schemas.microsoft.com/office/drawing/2014/main" id="{FD3D9C3C-0052-F17D-C3B3-8155225EFA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127000</xdr:colOff>
      <xdr:row>28</xdr:row>
      <xdr:rowOff>171450</xdr:rowOff>
    </xdr:to>
    <xdr:sp macro="" textlink="">
      <xdr:nvSpPr>
        <xdr:cNvPr id="2" name="Rectangle 1">
          <a:extLst>
            <a:ext uri="{FF2B5EF4-FFF2-40B4-BE49-F238E27FC236}">
              <a16:creationId xmlns:a16="http://schemas.microsoft.com/office/drawing/2014/main" id="{3484B1FC-179A-2A93-17FB-4C566BD42DC9}"/>
            </a:ext>
          </a:extLst>
        </xdr:cNvPr>
        <xdr:cNvSpPr/>
      </xdr:nvSpPr>
      <xdr:spPr>
        <a:xfrm>
          <a:off x="0" y="0"/>
          <a:ext cx="11709400" cy="5327650"/>
        </a:xfrm>
        <a:prstGeom prst="rect">
          <a:avLst/>
        </a:prstGeom>
        <a:gradFill>
          <a:gsLst>
            <a:gs pos="37356">
              <a:schemeClr val="accent1">
                <a:lumMod val="60000"/>
                <a:lumOff val="40000"/>
              </a:schemeClr>
            </a:gs>
            <a:gs pos="83000">
              <a:schemeClr val="accent1">
                <a:lumMod val="75000"/>
              </a:schemeClr>
            </a:gs>
            <a:gs pos="100000">
              <a:schemeClr val="accent1">
                <a:lumMod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444500</xdr:colOff>
      <xdr:row>10</xdr:row>
      <xdr:rowOff>88900</xdr:rowOff>
    </xdr:from>
    <xdr:to>
      <xdr:col>18</xdr:col>
      <xdr:colOff>603250</xdr:colOff>
      <xdr:row>15</xdr:row>
      <xdr:rowOff>95250</xdr:rowOff>
    </xdr:to>
    <xdr:sp macro="" textlink="">
      <xdr:nvSpPr>
        <xdr:cNvPr id="3" name="Rectangle: Rounded Corners 2">
          <a:extLst>
            <a:ext uri="{FF2B5EF4-FFF2-40B4-BE49-F238E27FC236}">
              <a16:creationId xmlns:a16="http://schemas.microsoft.com/office/drawing/2014/main" id="{2741C392-004F-27CB-E45F-825F5B531621}"/>
            </a:ext>
          </a:extLst>
        </xdr:cNvPr>
        <xdr:cNvSpPr/>
      </xdr:nvSpPr>
      <xdr:spPr>
        <a:xfrm>
          <a:off x="10198100" y="1930400"/>
          <a:ext cx="1377950" cy="927100"/>
        </a:xfrm>
        <a:prstGeom prst="roundRect">
          <a:avLst/>
        </a:prstGeom>
        <a:solidFill>
          <a:schemeClr val="accent1"/>
        </a:solidFill>
        <a:ln w="9525" cmpd="sng">
          <a:solidFill>
            <a:schemeClr val="accent1"/>
          </a:solidFill>
        </a:ln>
        <a:effectLst>
          <a:innerShdw blurRad="63500" dist="50800" dir="162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200" b="0" i="0" u="none" strike="noStrike">
            <a:solidFill>
              <a:schemeClr val="bg1"/>
            </a:solidFill>
            <a:latin typeface="Calibri"/>
            <a:ea typeface="Calibri"/>
            <a:cs typeface="Calibri"/>
          </a:endParaRPr>
        </a:p>
      </xdr:txBody>
    </xdr:sp>
    <xdr:clientData/>
  </xdr:twoCellAnchor>
  <xdr:twoCellAnchor>
    <xdr:from>
      <xdr:col>16</xdr:col>
      <xdr:colOff>400050</xdr:colOff>
      <xdr:row>4</xdr:row>
      <xdr:rowOff>25400</xdr:rowOff>
    </xdr:from>
    <xdr:to>
      <xdr:col>19</xdr:col>
      <xdr:colOff>12700</xdr:colOff>
      <xdr:row>9</xdr:row>
      <xdr:rowOff>31750</xdr:rowOff>
    </xdr:to>
    <xdr:sp macro="" textlink="">
      <xdr:nvSpPr>
        <xdr:cNvPr id="4" name="Rectangle: Rounded Corners 3">
          <a:extLst>
            <a:ext uri="{FF2B5EF4-FFF2-40B4-BE49-F238E27FC236}">
              <a16:creationId xmlns:a16="http://schemas.microsoft.com/office/drawing/2014/main" id="{E35796D1-72F5-46EE-ACEE-56973EB195A9}"/>
            </a:ext>
          </a:extLst>
        </xdr:cNvPr>
        <xdr:cNvSpPr/>
      </xdr:nvSpPr>
      <xdr:spPr>
        <a:xfrm>
          <a:off x="10153650" y="762000"/>
          <a:ext cx="1441450" cy="927100"/>
        </a:xfrm>
        <a:prstGeom prst="roundRect">
          <a:avLst/>
        </a:prstGeom>
        <a:solidFill>
          <a:schemeClr val="accent1"/>
        </a:solidFill>
        <a:ln w="9525" cmpd="sng">
          <a:solidFill>
            <a:schemeClr val="accent1"/>
          </a:solid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800" b="1">
            <a:solidFill>
              <a:schemeClr val="bg1"/>
            </a:solidFill>
            <a:latin typeface="+mn-lt"/>
            <a:ea typeface="+mn-ea"/>
            <a:cs typeface="+mn-cs"/>
          </a:endParaRPr>
        </a:p>
      </xdr:txBody>
    </xdr:sp>
    <xdr:clientData/>
  </xdr:twoCellAnchor>
  <xdr:twoCellAnchor>
    <xdr:from>
      <xdr:col>16</xdr:col>
      <xdr:colOff>419100</xdr:colOff>
      <xdr:row>23</xdr:row>
      <xdr:rowOff>38100</xdr:rowOff>
    </xdr:from>
    <xdr:to>
      <xdr:col>19</xdr:col>
      <xdr:colOff>19050</xdr:colOff>
      <xdr:row>28</xdr:row>
      <xdr:rowOff>44450</xdr:rowOff>
    </xdr:to>
    <xdr:sp macro="" textlink="">
      <xdr:nvSpPr>
        <xdr:cNvPr id="5" name="Rectangle: Rounded Corners 4">
          <a:extLst>
            <a:ext uri="{FF2B5EF4-FFF2-40B4-BE49-F238E27FC236}">
              <a16:creationId xmlns:a16="http://schemas.microsoft.com/office/drawing/2014/main" id="{3DD04BA7-B11F-4BDB-B79D-265DA2C50C8E}"/>
            </a:ext>
          </a:extLst>
        </xdr:cNvPr>
        <xdr:cNvSpPr/>
      </xdr:nvSpPr>
      <xdr:spPr>
        <a:xfrm>
          <a:off x="10172700" y="4273550"/>
          <a:ext cx="1428750" cy="927100"/>
        </a:xfrm>
        <a:prstGeom prst="roundRect">
          <a:avLst/>
        </a:prstGeom>
        <a:solidFill>
          <a:schemeClr val="accent1"/>
        </a:solidFill>
        <a:ln w="9525" cmpd="sng">
          <a:solidFill>
            <a:schemeClr val="accent1"/>
          </a:solid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IN" sz="1200" b="0" i="0" u="none" strike="noStrike">
            <a:solidFill>
              <a:schemeClr val="bg1"/>
            </a:solidFill>
            <a:latin typeface="Calibri"/>
            <a:ea typeface="Calibri"/>
            <a:cs typeface="Calibri"/>
          </a:endParaRPr>
        </a:p>
      </xdr:txBody>
    </xdr:sp>
    <xdr:clientData/>
  </xdr:twoCellAnchor>
  <xdr:twoCellAnchor>
    <xdr:from>
      <xdr:col>16</xdr:col>
      <xdr:colOff>425450</xdr:colOff>
      <xdr:row>16</xdr:row>
      <xdr:rowOff>152400</xdr:rowOff>
    </xdr:from>
    <xdr:to>
      <xdr:col>19</xdr:col>
      <xdr:colOff>12700</xdr:colOff>
      <xdr:row>21</xdr:row>
      <xdr:rowOff>158750</xdr:rowOff>
    </xdr:to>
    <xdr:sp macro="" textlink="">
      <xdr:nvSpPr>
        <xdr:cNvPr id="6" name="Rectangle: Rounded Corners 5">
          <a:extLst>
            <a:ext uri="{FF2B5EF4-FFF2-40B4-BE49-F238E27FC236}">
              <a16:creationId xmlns:a16="http://schemas.microsoft.com/office/drawing/2014/main" id="{9544E786-65E7-47F5-B895-4B49E05E724F}"/>
            </a:ext>
          </a:extLst>
        </xdr:cNvPr>
        <xdr:cNvSpPr/>
      </xdr:nvSpPr>
      <xdr:spPr>
        <a:xfrm>
          <a:off x="10179050" y="3098800"/>
          <a:ext cx="1416050" cy="927100"/>
        </a:xfrm>
        <a:prstGeom prst="roundRect">
          <a:avLst/>
        </a:prstGeom>
        <a:ln>
          <a:solidFill>
            <a:schemeClr val="accent1"/>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330200</xdr:colOff>
      <xdr:row>3</xdr:row>
      <xdr:rowOff>171450</xdr:rowOff>
    </xdr:from>
    <xdr:to>
      <xdr:col>12</xdr:col>
      <xdr:colOff>165100</xdr:colOff>
      <xdr:row>15</xdr:row>
      <xdr:rowOff>127000</xdr:rowOff>
    </xdr:to>
    <xdr:graphicFrame macro="">
      <xdr:nvGraphicFramePr>
        <xdr:cNvPr id="7" name="Chart 6">
          <a:extLst>
            <a:ext uri="{FF2B5EF4-FFF2-40B4-BE49-F238E27FC236}">
              <a16:creationId xmlns:a16="http://schemas.microsoft.com/office/drawing/2014/main" id="{25D74313-D903-4CFD-B48F-9D7800175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63500</xdr:colOff>
      <xdr:row>16</xdr:row>
      <xdr:rowOff>76200</xdr:rowOff>
    </xdr:from>
    <xdr:to>
      <xdr:col>5</xdr:col>
      <xdr:colOff>222250</xdr:colOff>
      <xdr:row>27</xdr:row>
      <xdr:rowOff>120650</xdr:rowOff>
    </xdr:to>
    <xdr:graphicFrame macro="">
      <xdr:nvGraphicFramePr>
        <xdr:cNvPr id="8" name="Chart 7">
          <a:extLst>
            <a:ext uri="{FF2B5EF4-FFF2-40B4-BE49-F238E27FC236}">
              <a16:creationId xmlns:a16="http://schemas.microsoft.com/office/drawing/2014/main" id="{E71956B2-E083-47D0-A5C1-679F689F5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342900</xdr:colOff>
      <xdr:row>16</xdr:row>
      <xdr:rowOff>88900</xdr:rowOff>
    </xdr:from>
    <xdr:to>
      <xdr:col>10</xdr:col>
      <xdr:colOff>603250</xdr:colOff>
      <xdr:row>28</xdr:row>
      <xdr:rowOff>50800</xdr:rowOff>
    </xdr:to>
    <xdr:graphicFrame macro="">
      <xdr:nvGraphicFramePr>
        <xdr:cNvPr id="9" name="Chart 8">
          <a:extLst>
            <a:ext uri="{FF2B5EF4-FFF2-40B4-BE49-F238E27FC236}">
              <a16:creationId xmlns:a16="http://schemas.microsoft.com/office/drawing/2014/main" id="{1273FBBD-8EC3-40BD-8304-5C9EE9747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139700</xdr:colOff>
      <xdr:row>16</xdr:row>
      <xdr:rowOff>69850</xdr:rowOff>
    </xdr:from>
    <xdr:to>
      <xdr:col>16</xdr:col>
      <xdr:colOff>269875</xdr:colOff>
      <xdr:row>28</xdr:row>
      <xdr:rowOff>44450</xdr:rowOff>
    </xdr:to>
    <xdr:graphicFrame macro="">
      <xdr:nvGraphicFramePr>
        <xdr:cNvPr id="10" name="Chart 9">
          <a:extLst>
            <a:ext uri="{FF2B5EF4-FFF2-40B4-BE49-F238E27FC236}">
              <a16:creationId xmlns:a16="http://schemas.microsoft.com/office/drawing/2014/main" id="{F0073503-DB7B-4289-9FB1-F8E98762C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323850</xdr:colOff>
      <xdr:row>3</xdr:row>
      <xdr:rowOff>171450</xdr:rowOff>
    </xdr:from>
    <xdr:to>
      <xdr:col>16</xdr:col>
      <xdr:colOff>254000</xdr:colOff>
      <xdr:row>15</xdr:row>
      <xdr:rowOff>95250</xdr:rowOff>
    </xdr:to>
    <xdr:graphicFrame macro="">
      <xdr:nvGraphicFramePr>
        <xdr:cNvPr id="12" name="Chart 11">
          <a:extLst>
            <a:ext uri="{FF2B5EF4-FFF2-40B4-BE49-F238E27FC236}">
              <a16:creationId xmlns:a16="http://schemas.microsoft.com/office/drawing/2014/main" id="{5FFC752A-81F9-4FA9-B56C-DD9D965DD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533400</xdr:colOff>
      <xdr:row>4</xdr:row>
      <xdr:rowOff>95250</xdr:rowOff>
    </xdr:from>
    <xdr:to>
      <xdr:col>18</xdr:col>
      <xdr:colOff>209550</xdr:colOff>
      <xdr:row>6</xdr:row>
      <xdr:rowOff>38100</xdr:rowOff>
    </xdr:to>
    <xdr:sp macro="" textlink="">
      <xdr:nvSpPr>
        <xdr:cNvPr id="13" name="TextBox 12">
          <a:extLst>
            <a:ext uri="{FF2B5EF4-FFF2-40B4-BE49-F238E27FC236}">
              <a16:creationId xmlns:a16="http://schemas.microsoft.com/office/drawing/2014/main" id="{189221E3-0816-BD1F-D525-DA3A3DD442A5}"/>
            </a:ext>
          </a:extLst>
        </xdr:cNvPr>
        <xdr:cNvSpPr txBox="1"/>
      </xdr:nvSpPr>
      <xdr:spPr>
        <a:xfrm>
          <a:off x="10287000" y="831850"/>
          <a:ext cx="895350" cy="31115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rPr>
            <a:t>Orders</a:t>
          </a:r>
        </a:p>
      </xdr:txBody>
    </xdr:sp>
    <xdr:clientData/>
  </xdr:twoCellAnchor>
  <xdr:twoCellAnchor>
    <xdr:from>
      <xdr:col>16</xdr:col>
      <xdr:colOff>603250</xdr:colOff>
      <xdr:row>11</xdr:row>
      <xdr:rowOff>25400</xdr:rowOff>
    </xdr:from>
    <xdr:to>
      <xdr:col>18</xdr:col>
      <xdr:colOff>196850</xdr:colOff>
      <xdr:row>12</xdr:row>
      <xdr:rowOff>152400</xdr:rowOff>
    </xdr:to>
    <xdr:sp macro="" textlink="">
      <xdr:nvSpPr>
        <xdr:cNvPr id="15" name="TextBox 14">
          <a:extLst>
            <a:ext uri="{FF2B5EF4-FFF2-40B4-BE49-F238E27FC236}">
              <a16:creationId xmlns:a16="http://schemas.microsoft.com/office/drawing/2014/main" id="{BCBB664E-70E9-7317-4E23-26A85CD829F6}"/>
            </a:ext>
          </a:extLst>
        </xdr:cNvPr>
        <xdr:cNvSpPr txBox="1"/>
      </xdr:nvSpPr>
      <xdr:spPr>
        <a:xfrm>
          <a:off x="10356850" y="2051050"/>
          <a:ext cx="812800" cy="31115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1">
              <a:solidFill>
                <a:schemeClr val="bg1"/>
              </a:solidFill>
              <a:latin typeface="+mn-lt"/>
              <a:ea typeface="+mn-ea"/>
              <a:cs typeface="+mn-cs"/>
            </a:rPr>
            <a:t>Sales</a:t>
          </a:r>
        </a:p>
      </xdr:txBody>
    </xdr:sp>
    <xdr:clientData/>
  </xdr:twoCellAnchor>
  <xdr:twoCellAnchor>
    <xdr:from>
      <xdr:col>16</xdr:col>
      <xdr:colOff>552450</xdr:colOff>
      <xdr:row>17</xdr:row>
      <xdr:rowOff>88900</xdr:rowOff>
    </xdr:from>
    <xdr:to>
      <xdr:col>18</xdr:col>
      <xdr:colOff>165100</xdr:colOff>
      <xdr:row>19</xdr:row>
      <xdr:rowOff>38100</xdr:rowOff>
    </xdr:to>
    <xdr:sp macro="" textlink="">
      <xdr:nvSpPr>
        <xdr:cNvPr id="18" name="TextBox 17">
          <a:extLst>
            <a:ext uri="{FF2B5EF4-FFF2-40B4-BE49-F238E27FC236}">
              <a16:creationId xmlns:a16="http://schemas.microsoft.com/office/drawing/2014/main" id="{16F35FB9-9970-23BC-93AD-47FAB1AFF918}"/>
            </a:ext>
          </a:extLst>
        </xdr:cNvPr>
        <xdr:cNvSpPr txBox="1"/>
      </xdr:nvSpPr>
      <xdr:spPr>
        <a:xfrm>
          <a:off x="10306050" y="3219450"/>
          <a:ext cx="831850" cy="3175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1">
              <a:solidFill>
                <a:schemeClr val="bg1"/>
              </a:solidFill>
              <a:latin typeface="+mn-lt"/>
              <a:ea typeface="+mn-ea"/>
              <a:cs typeface="+mn-cs"/>
            </a:rPr>
            <a:t>Profit</a:t>
          </a:r>
        </a:p>
      </xdr:txBody>
    </xdr:sp>
    <xdr:clientData/>
  </xdr:twoCellAnchor>
  <xdr:twoCellAnchor>
    <xdr:from>
      <xdr:col>16</xdr:col>
      <xdr:colOff>520700</xdr:colOff>
      <xdr:row>23</xdr:row>
      <xdr:rowOff>146050</xdr:rowOff>
    </xdr:from>
    <xdr:to>
      <xdr:col>18</xdr:col>
      <xdr:colOff>349250</xdr:colOff>
      <xdr:row>25</xdr:row>
      <xdr:rowOff>127000</xdr:rowOff>
    </xdr:to>
    <xdr:sp macro="" textlink="">
      <xdr:nvSpPr>
        <xdr:cNvPr id="19" name="TextBox 18">
          <a:extLst>
            <a:ext uri="{FF2B5EF4-FFF2-40B4-BE49-F238E27FC236}">
              <a16:creationId xmlns:a16="http://schemas.microsoft.com/office/drawing/2014/main" id="{E14F88A2-AD69-149C-42A4-5430A054175E}"/>
            </a:ext>
          </a:extLst>
        </xdr:cNvPr>
        <xdr:cNvSpPr txBox="1"/>
      </xdr:nvSpPr>
      <xdr:spPr>
        <a:xfrm>
          <a:off x="10274300" y="4381500"/>
          <a:ext cx="1047750" cy="34925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b="1">
              <a:solidFill>
                <a:schemeClr val="bg1"/>
              </a:solidFill>
              <a:latin typeface="+mn-lt"/>
              <a:ea typeface="+mn-ea"/>
              <a:cs typeface="+mn-cs"/>
            </a:rPr>
            <a:t>Quantity</a:t>
          </a:r>
        </a:p>
      </xdr:txBody>
    </xdr:sp>
    <xdr:clientData/>
  </xdr:twoCellAnchor>
  <xdr:twoCellAnchor>
    <xdr:from>
      <xdr:col>16</xdr:col>
      <xdr:colOff>603250</xdr:colOff>
      <xdr:row>6</xdr:row>
      <xdr:rowOff>88900</xdr:rowOff>
    </xdr:from>
    <xdr:to>
      <xdr:col>18</xdr:col>
      <xdr:colOff>114300</xdr:colOff>
      <xdr:row>7</xdr:row>
      <xdr:rowOff>171450</xdr:rowOff>
    </xdr:to>
    <xdr:sp macro="" textlink="pivot!$H$4">
      <xdr:nvSpPr>
        <xdr:cNvPr id="20" name="TextBox 19">
          <a:extLst>
            <a:ext uri="{FF2B5EF4-FFF2-40B4-BE49-F238E27FC236}">
              <a16:creationId xmlns:a16="http://schemas.microsoft.com/office/drawing/2014/main" id="{DAADA6B6-FA65-B066-09AF-A07548E02193}"/>
            </a:ext>
          </a:extLst>
        </xdr:cNvPr>
        <xdr:cNvSpPr txBox="1"/>
      </xdr:nvSpPr>
      <xdr:spPr>
        <a:xfrm>
          <a:off x="10356850" y="1193800"/>
          <a:ext cx="730250" cy="2667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2F1A07-3289-4B05-9268-B19B301D5B55}" type="TxLink">
            <a:rPr lang="en-US" sz="1200" b="0" i="0" u="none" strike="noStrike">
              <a:solidFill>
                <a:schemeClr val="bg1"/>
              </a:solidFill>
              <a:latin typeface="Calibri"/>
              <a:ea typeface="Calibri"/>
              <a:cs typeface="Calibri"/>
            </a:rPr>
            <a:pPr/>
            <a:t>1.0k</a:t>
          </a:fld>
          <a:endParaRPr lang="en-IN" sz="1200">
            <a:solidFill>
              <a:schemeClr val="bg1"/>
            </a:solidFill>
          </a:endParaRPr>
        </a:p>
      </xdr:txBody>
    </xdr:sp>
    <xdr:clientData/>
  </xdr:twoCellAnchor>
  <xdr:twoCellAnchor>
    <xdr:from>
      <xdr:col>17</xdr:col>
      <xdr:colOff>6350</xdr:colOff>
      <xdr:row>13</xdr:row>
      <xdr:rowOff>5081</xdr:rowOff>
    </xdr:from>
    <xdr:to>
      <xdr:col>18</xdr:col>
      <xdr:colOff>107950</xdr:colOff>
      <xdr:row>14</xdr:row>
      <xdr:rowOff>120650</xdr:rowOff>
    </xdr:to>
    <xdr:sp macro="" textlink="pivot!$I$4">
      <xdr:nvSpPr>
        <xdr:cNvPr id="21" name="TextBox 20">
          <a:extLst>
            <a:ext uri="{FF2B5EF4-FFF2-40B4-BE49-F238E27FC236}">
              <a16:creationId xmlns:a16="http://schemas.microsoft.com/office/drawing/2014/main" id="{779BF42C-C897-6525-78D3-FAE5596268D5}"/>
            </a:ext>
          </a:extLst>
        </xdr:cNvPr>
        <xdr:cNvSpPr txBox="1"/>
      </xdr:nvSpPr>
      <xdr:spPr>
        <a:xfrm>
          <a:off x="10369550" y="2399031"/>
          <a:ext cx="711200" cy="299719"/>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D163718-587B-4F2B-BE9F-54E4863A154C}" type="TxLink">
            <a:rPr lang="en-US" sz="1200" b="0" i="0" u="none" strike="noStrike">
              <a:solidFill>
                <a:schemeClr val="bg1"/>
              </a:solidFill>
              <a:latin typeface="Calibri"/>
              <a:ea typeface="Calibri"/>
              <a:cs typeface="Calibri"/>
            </a:rPr>
            <a:pPr marL="0" indent="0"/>
            <a:t>149.9k</a:t>
          </a:fld>
          <a:endParaRPr lang="en-IN" sz="1200" b="0" i="0" u="none" strike="noStrike">
            <a:solidFill>
              <a:schemeClr val="bg1"/>
            </a:solidFill>
            <a:latin typeface="Calibri"/>
            <a:ea typeface="Calibri"/>
            <a:cs typeface="Calibri"/>
          </a:endParaRPr>
        </a:p>
      </xdr:txBody>
    </xdr:sp>
    <xdr:clientData/>
  </xdr:twoCellAnchor>
  <xdr:twoCellAnchor>
    <xdr:from>
      <xdr:col>17</xdr:col>
      <xdr:colOff>6350</xdr:colOff>
      <xdr:row>19</xdr:row>
      <xdr:rowOff>95250</xdr:rowOff>
    </xdr:from>
    <xdr:to>
      <xdr:col>18</xdr:col>
      <xdr:colOff>82550</xdr:colOff>
      <xdr:row>21</xdr:row>
      <xdr:rowOff>25400</xdr:rowOff>
    </xdr:to>
    <xdr:sp macro="" textlink="pivot!$J$4">
      <xdr:nvSpPr>
        <xdr:cNvPr id="22" name="TextBox 21">
          <a:extLst>
            <a:ext uri="{FF2B5EF4-FFF2-40B4-BE49-F238E27FC236}">
              <a16:creationId xmlns:a16="http://schemas.microsoft.com/office/drawing/2014/main" id="{7F274B86-BC59-1AC9-5A79-8900F44BB47E}"/>
            </a:ext>
          </a:extLst>
        </xdr:cNvPr>
        <xdr:cNvSpPr txBox="1"/>
      </xdr:nvSpPr>
      <xdr:spPr>
        <a:xfrm>
          <a:off x="10369550" y="3594100"/>
          <a:ext cx="685800" cy="29845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C07A67-8A93-42DA-AFCA-83C6949EDC4D}" type="TxLink">
            <a:rPr lang="en-US" sz="1200" b="0" i="0" u="none" strike="noStrike">
              <a:solidFill>
                <a:schemeClr val="bg1"/>
              </a:solidFill>
              <a:latin typeface="Calibri"/>
              <a:ea typeface="Calibri"/>
              <a:cs typeface="Calibri"/>
            </a:rPr>
            <a:pPr marL="0" indent="0"/>
            <a:t>37.4k</a:t>
          </a:fld>
          <a:endParaRPr lang="en-IN" sz="1200" b="0" i="0" u="none" strike="noStrike">
            <a:solidFill>
              <a:schemeClr val="bg1"/>
            </a:solidFill>
            <a:latin typeface="Calibri"/>
            <a:ea typeface="Calibri"/>
            <a:cs typeface="Calibri"/>
          </a:endParaRPr>
        </a:p>
      </xdr:txBody>
    </xdr:sp>
    <xdr:clientData/>
  </xdr:twoCellAnchor>
  <xdr:twoCellAnchor>
    <xdr:from>
      <xdr:col>16</xdr:col>
      <xdr:colOff>603250</xdr:colOff>
      <xdr:row>25</xdr:row>
      <xdr:rowOff>152400</xdr:rowOff>
    </xdr:from>
    <xdr:to>
      <xdr:col>18</xdr:col>
      <xdr:colOff>44450</xdr:colOff>
      <xdr:row>27</xdr:row>
      <xdr:rowOff>44450</xdr:rowOff>
    </xdr:to>
    <xdr:sp macro="" textlink="pivot!$K$4">
      <xdr:nvSpPr>
        <xdr:cNvPr id="23" name="TextBox 22">
          <a:extLst>
            <a:ext uri="{FF2B5EF4-FFF2-40B4-BE49-F238E27FC236}">
              <a16:creationId xmlns:a16="http://schemas.microsoft.com/office/drawing/2014/main" id="{881411D0-46E3-A950-F738-4554A5EF5A72}"/>
            </a:ext>
          </a:extLst>
        </xdr:cNvPr>
        <xdr:cNvSpPr txBox="1"/>
      </xdr:nvSpPr>
      <xdr:spPr>
        <a:xfrm>
          <a:off x="10356850" y="4756150"/>
          <a:ext cx="660400" cy="26035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997C009-27B3-4A24-92C6-8AFA13DD04B0}" type="TxLink">
            <a:rPr lang="en-US" sz="1200" b="0" i="0" u="none" strike="noStrike">
              <a:solidFill>
                <a:schemeClr val="bg1"/>
              </a:solidFill>
              <a:latin typeface="Calibri"/>
              <a:ea typeface="Calibri"/>
              <a:cs typeface="Calibri"/>
            </a:rPr>
            <a:pPr marL="0" indent="0"/>
            <a:t>5.4k</a:t>
          </a:fld>
          <a:endParaRPr lang="en-IN" sz="1200" b="0" i="0" u="none" strike="noStrike">
            <a:solidFill>
              <a:schemeClr val="bg1"/>
            </a:solidFill>
            <a:latin typeface="Calibri"/>
            <a:ea typeface="Calibri"/>
            <a:cs typeface="Calibri"/>
          </a:endParaRPr>
        </a:p>
      </xdr:txBody>
    </xdr:sp>
    <xdr:clientData/>
  </xdr:twoCellAnchor>
  <xdr:twoCellAnchor editAs="oneCell">
    <xdr:from>
      <xdr:col>3</xdr:col>
      <xdr:colOff>590550</xdr:colOff>
      <xdr:row>3</xdr:row>
      <xdr:rowOff>146051</xdr:rowOff>
    </xdr:from>
    <xdr:to>
      <xdr:col>7</xdr:col>
      <xdr:colOff>209550</xdr:colOff>
      <xdr:row>8</xdr:row>
      <xdr:rowOff>139700</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C8FE97D8-C81C-6AFB-4366-7D0D959309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19350" y="698501"/>
              <a:ext cx="20574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9</xdr:row>
      <xdr:rowOff>69851</xdr:rowOff>
    </xdr:from>
    <xdr:to>
      <xdr:col>7</xdr:col>
      <xdr:colOff>222250</xdr:colOff>
      <xdr:row>15</xdr:row>
      <xdr:rowOff>120650</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3B23940F-65A9-974C-D8F9-91BC4DBC837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9850" y="1727201"/>
              <a:ext cx="4419600" cy="1155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xdr:colOff>
      <xdr:row>3</xdr:row>
      <xdr:rowOff>146051</xdr:rowOff>
    </xdr:from>
    <xdr:to>
      <xdr:col>3</xdr:col>
      <xdr:colOff>508000</xdr:colOff>
      <xdr:row>8</xdr:row>
      <xdr:rowOff>139700</xdr:rowOff>
    </xdr:to>
    <mc:AlternateContent xmlns:mc="http://schemas.openxmlformats.org/markup-compatibility/2006" xmlns:a14="http://schemas.microsoft.com/office/drawing/2010/main">
      <mc:Choice Requires="a14">
        <xdr:graphicFrame macro="">
          <xdr:nvGraphicFramePr>
            <xdr:cNvPr id="27" name="Payment_Mode">
              <a:extLst>
                <a:ext uri="{FF2B5EF4-FFF2-40B4-BE49-F238E27FC236}">
                  <a16:creationId xmlns:a16="http://schemas.microsoft.com/office/drawing/2014/main" id="{D6F6626F-7B35-C2C1-CE3B-EBB7E505472F}"/>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82550" y="698501"/>
              <a:ext cx="225425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50800</xdr:rowOff>
    </xdr:from>
    <xdr:to>
      <xdr:col>19</xdr:col>
      <xdr:colOff>120650</xdr:colOff>
      <xdr:row>3</xdr:row>
      <xdr:rowOff>63500</xdr:rowOff>
    </xdr:to>
    <xdr:sp macro="" textlink="">
      <xdr:nvSpPr>
        <xdr:cNvPr id="11" name="Rectangle 10">
          <a:extLst>
            <a:ext uri="{FF2B5EF4-FFF2-40B4-BE49-F238E27FC236}">
              <a16:creationId xmlns:a16="http://schemas.microsoft.com/office/drawing/2014/main" id="{16DE700E-423C-647A-8E42-DDAAB1AA649B}"/>
            </a:ext>
          </a:extLst>
        </xdr:cNvPr>
        <xdr:cNvSpPr/>
      </xdr:nvSpPr>
      <xdr:spPr>
        <a:xfrm>
          <a:off x="0" y="50800"/>
          <a:ext cx="11703050" cy="565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latin typeface="Algerian" panose="04020705040A02060702" pitchFamily="82" charset="0"/>
            </a:rPr>
            <a:t>E-commerce Sales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U" refreshedDate="46084.439674074078" createdVersion="8" refreshedVersion="8" minRefreshableVersion="3" recordCount="1000" xr:uid="{A745BD71-6E4F-46DC-8ED5-B47819A540A6}">
  <cacheSource type="worksheet">
    <worksheetSource name="Table1"/>
  </cacheSource>
  <cacheFields count="13">
    <cacheField name="Order_ID" numFmtId="0">
      <sharedItems/>
    </cacheField>
    <cacheField name="Order_Date" numFmtId="14">
      <sharedItems containsSemiMixedTypes="0" containsNonDate="0" containsDate="1" containsString="0" minDate="2023-01-01T00:00:00" maxDate="2024-01-02T00:00:00" count="339">
        <d v="2023-01-05T00:00:00"/>
        <d v="2023-01-02T00:00:00"/>
        <d v="2023-03-21T00:00:00"/>
        <d v="2023-06-02T00:00:00"/>
        <d v="2023-10-03T00:00:00"/>
        <d v="2023-12-13T00:00:00"/>
        <d v="2023-01-26T00:00:00"/>
        <d v="2023-08-06T00:00:00"/>
        <d v="2023-01-15T00:00:00"/>
        <d v="2023-08-03T00:00:00"/>
        <d v="2023-07-03T00:00:00"/>
        <d v="2023-05-11T00:00:00"/>
        <d v="2023-05-31T00:00:00"/>
        <d v="2023-09-20T00:00:00"/>
        <d v="2023-11-03T00:00:00"/>
        <d v="2023-01-30T00:00:00"/>
        <d v="2023-08-08T00:00:00"/>
        <d v="2023-06-15T00:00:00"/>
        <d v="2023-11-30T00:00:00"/>
        <d v="2023-09-11T00:00:00"/>
        <d v="2023-09-22T00:00:00"/>
        <d v="2023-09-12T00:00:00"/>
        <d v="2023-10-18T00:00:00"/>
        <d v="2023-08-04T00:00:00"/>
        <d v="2023-02-20T00:00:00"/>
        <d v="2023-02-27T00:00:00"/>
        <d v="2023-10-10T00:00:00"/>
        <d v="2023-06-06T00:00:00"/>
        <d v="2023-11-23T00:00:00"/>
        <d v="2023-09-17T00:00:00"/>
        <d v="2023-05-07T00:00:00"/>
        <d v="2023-12-28T00:00:00"/>
        <d v="2023-08-21T00:00:00"/>
        <d v="2023-05-13T00:00:00"/>
        <d v="2023-11-13T00:00:00"/>
        <d v="2023-07-25T00:00:00"/>
        <d v="2023-10-23T00:00:00"/>
        <d v="2023-05-08T00:00:00"/>
        <d v="2023-09-04T00:00:00"/>
        <d v="2023-10-17T00:00:00"/>
        <d v="2023-07-01T00:00:00"/>
        <d v="2023-11-25T00:00:00"/>
        <d v="2023-12-22T00:00:00"/>
        <d v="2023-06-30T00:00:00"/>
        <d v="2023-11-18T00:00:00"/>
        <d v="2023-08-31T00:00:00"/>
        <d v="2023-04-18T00:00:00"/>
        <d v="2023-08-10T00:00:00"/>
        <d v="2023-11-15T00:00:00"/>
        <d v="2023-09-02T00:00:00"/>
        <d v="2023-01-20T00:00:00"/>
        <d v="2023-05-18T00:00:00"/>
        <d v="2023-03-30T00:00:00"/>
        <d v="2023-09-09T00:00:00"/>
        <d v="2023-11-26T00:00:00"/>
        <d v="2023-11-11T00:00:00"/>
        <d v="2023-09-18T00:00:00"/>
        <d v="2023-07-16T00:00:00"/>
        <d v="2023-10-15T00:00:00"/>
        <d v="2023-04-03T00:00:00"/>
        <d v="2023-07-13T00:00:00"/>
        <d v="2023-03-12T00:00:00"/>
        <d v="2023-02-08T00:00:00"/>
        <d v="2023-02-21T00:00:00"/>
        <d v="2023-12-14T00:00:00"/>
        <d v="2023-07-31T00:00:00"/>
        <d v="2023-11-01T00:00:00"/>
        <d v="2023-06-01T00:00:00"/>
        <d v="2023-05-21T00:00:00"/>
        <d v="2023-05-25T00:00:00"/>
        <d v="2023-03-08T00:00:00"/>
        <d v="2023-08-02T00:00:00"/>
        <d v="2023-06-21T00:00:00"/>
        <d v="2023-01-10T00:00:00"/>
        <d v="2023-10-07T00:00:00"/>
        <d v="2023-01-03T00:00:00"/>
        <d v="2023-06-09T00:00:00"/>
        <d v="2023-05-20T00:00:00"/>
        <d v="2023-09-07T00:00:00"/>
        <d v="2023-06-05T00:00:00"/>
        <d v="2023-08-27T00:00:00"/>
        <d v="2023-03-25T00:00:00"/>
        <d v="2023-11-09T00:00:00"/>
        <d v="2023-12-07T00:00:00"/>
        <d v="2023-01-14T00:00:00"/>
        <d v="2023-05-01T00:00:00"/>
        <d v="2023-08-22T00:00:00"/>
        <d v="2023-09-08T00:00:00"/>
        <d v="2023-12-16T00:00:00"/>
        <d v="2023-11-05T00:00:00"/>
        <d v="2023-02-25T00:00:00"/>
        <d v="2023-08-25T00:00:00"/>
        <d v="2023-07-10T00:00:00"/>
        <d v="2023-05-24T00:00:00"/>
        <d v="2023-03-03T00:00:00"/>
        <d v="2023-02-19T00:00:00"/>
        <d v="2023-12-04T00:00:00"/>
        <d v="2023-08-24T00:00:00"/>
        <d v="2023-10-02T00:00:00"/>
        <d v="2023-05-12T00:00:00"/>
        <d v="2023-05-03T00:00:00"/>
        <d v="2023-11-20T00:00:00"/>
        <d v="2023-01-31T00:00:00"/>
        <d v="2023-10-27T00:00:00"/>
        <d v="2023-12-11T00:00:00"/>
        <d v="2023-05-17T00:00:00"/>
        <d v="2023-07-21T00:00:00"/>
        <d v="2023-01-22T00:00:00"/>
        <d v="2023-09-13T00:00:00"/>
        <d v="2023-02-06T00:00:00"/>
        <d v="2023-02-03T00:00:00"/>
        <d v="2023-01-11T00:00:00"/>
        <d v="2023-07-11T00:00:00"/>
        <d v="2023-01-24T00:00:00"/>
        <d v="2023-12-21T00:00:00"/>
        <d v="2023-03-23T00:00:00"/>
        <d v="2023-11-24T00:00:00"/>
        <d v="2023-09-10T00:00:00"/>
        <d v="2023-10-31T00:00:00"/>
        <d v="2023-10-13T00:00:00"/>
        <d v="2023-01-18T00:00:00"/>
        <d v="2023-07-02T00:00:00"/>
        <d v="2023-07-08T00:00:00"/>
        <d v="2023-09-05T00:00:00"/>
        <d v="2023-11-17T00:00:00"/>
        <d v="2023-04-07T00:00:00"/>
        <d v="2023-02-01T00:00:00"/>
        <d v="2023-04-06T00:00:00"/>
        <d v="2023-07-07T00:00:00"/>
        <d v="2023-06-27T00:00:00"/>
        <d v="2023-11-02T00:00:00"/>
        <d v="2023-09-30T00:00:00"/>
        <d v="2023-11-10T00:00:00"/>
        <d v="2023-04-27T00:00:00"/>
        <d v="2023-07-12T00:00:00"/>
        <d v="2023-06-13T00:00:00"/>
        <d v="2023-10-16T00:00:00"/>
        <d v="2023-08-28T00:00:00"/>
        <d v="2023-03-24T00:00:00"/>
        <d v="2023-06-28T00:00:00"/>
        <d v="2023-02-13T00:00:00"/>
        <d v="2023-12-12T00:00:00"/>
        <d v="2023-01-27T00:00:00"/>
        <d v="2023-11-06T00:00:00"/>
        <d v="2023-07-20T00:00:00"/>
        <d v="2023-02-15T00:00:00"/>
        <d v="2023-02-26T00:00:00"/>
        <d v="2023-11-14T00:00:00"/>
        <d v="2023-04-29T00:00:00"/>
        <d v="2023-08-13T00:00:00"/>
        <d v="2023-06-12T00:00:00"/>
        <d v="2024-01-01T00:00:00"/>
        <d v="2023-08-05T00:00:00"/>
        <d v="2023-05-27T00:00:00"/>
        <d v="2023-09-16T00:00:00"/>
        <d v="2023-06-25T00:00:00"/>
        <d v="2023-06-07T00:00:00"/>
        <d v="2023-03-06T00:00:00"/>
        <d v="2023-04-30T00:00:00"/>
        <d v="2023-10-19T00:00:00"/>
        <d v="2023-09-29T00:00:00"/>
        <d v="2023-04-20T00:00:00"/>
        <d v="2023-12-06T00:00:00"/>
        <d v="2023-01-19T00:00:00"/>
        <d v="2023-04-12T00:00:00"/>
        <d v="2023-12-20T00:00:00"/>
        <d v="2023-12-24T00:00:00"/>
        <d v="2023-10-21T00:00:00"/>
        <d v="2023-07-24T00:00:00"/>
        <d v="2023-12-15T00:00:00"/>
        <d v="2023-10-28T00:00:00"/>
        <d v="2023-07-19T00:00:00"/>
        <d v="2023-12-03T00:00:00"/>
        <d v="2023-09-24T00:00:00"/>
        <d v="2023-12-29T00:00:00"/>
        <d v="2023-08-20T00:00:00"/>
        <d v="2023-07-26T00:00:00"/>
        <d v="2023-07-28T00:00:00"/>
        <d v="2023-11-29T00:00:00"/>
        <d v="2023-10-22T00:00:00"/>
        <d v="2023-11-16T00:00:00"/>
        <d v="2023-04-26T00:00:00"/>
        <d v="2023-12-17T00:00:00"/>
        <d v="2023-01-09T00:00:00"/>
        <d v="2023-04-28T00:00:00"/>
        <d v="2023-04-11T00:00:00"/>
        <d v="2023-09-23T00:00:00"/>
        <d v="2023-01-25T00:00:00"/>
        <d v="2023-10-26T00:00:00"/>
        <d v="2023-04-01T00:00:00"/>
        <d v="2023-02-09T00:00:00"/>
        <d v="2023-09-15T00:00:00"/>
        <d v="2023-03-17T00:00:00"/>
        <d v="2023-01-29T00:00:00"/>
        <d v="2023-05-15T00:00:00"/>
        <d v="2023-10-06T00:00:00"/>
        <d v="2023-11-12T00:00:00"/>
        <d v="2023-12-25T00:00:00"/>
        <d v="2023-12-02T00:00:00"/>
        <d v="2023-05-06T00:00:00"/>
        <d v="2023-03-31T00:00:00"/>
        <d v="2023-02-02T00:00:00"/>
        <d v="2023-12-19T00:00:00"/>
        <d v="2023-05-14T00:00:00"/>
        <d v="2023-09-14T00:00:00"/>
        <d v="2023-01-28T00:00:00"/>
        <d v="2023-06-04T00:00:00"/>
        <d v="2023-09-01T00:00:00"/>
        <d v="2023-05-26T00:00:00"/>
        <d v="2023-07-09T00:00:00"/>
        <d v="2023-11-08T00:00:00"/>
        <d v="2023-02-10T00:00:00"/>
        <d v="2023-03-19T00:00:00"/>
        <d v="2023-09-28T00:00:00"/>
        <d v="2023-02-07T00:00:00"/>
        <d v="2023-07-27T00:00:00"/>
        <d v="2023-12-27T00:00:00"/>
        <d v="2023-05-05T00:00:00"/>
        <d v="2023-09-03T00:00:00"/>
        <d v="2023-11-19T00:00:00"/>
        <d v="2023-12-08T00:00:00"/>
        <d v="2023-06-10T00:00:00"/>
        <d v="2023-07-23T00:00:00"/>
        <d v="2023-01-01T00:00:00"/>
        <d v="2023-06-19T00:00:00"/>
        <d v="2023-04-04T00:00:00"/>
        <d v="2023-08-23T00:00:00"/>
        <d v="2023-10-25T00:00:00"/>
        <d v="2023-07-22T00:00:00"/>
        <d v="2023-09-25T00:00:00"/>
        <d v="2023-01-13T00:00:00"/>
        <d v="2023-05-23T00:00:00"/>
        <d v="2023-08-11T00:00:00"/>
        <d v="2023-04-25T00:00:00"/>
        <d v="2023-03-01T00:00:00"/>
        <d v="2023-12-18T00:00:00"/>
        <d v="2023-04-15T00:00:00"/>
        <d v="2023-08-30T00:00:00"/>
        <d v="2023-09-21T00:00:00"/>
        <d v="2023-05-30T00:00:00"/>
        <d v="2023-06-03T00:00:00"/>
        <d v="2023-12-05T00:00:00"/>
        <d v="2023-10-24T00:00:00"/>
        <d v="2023-03-20T00:00:00"/>
        <d v="2023-12-23T00:00:00"/>
        <d v="2023-11-28T00:00:00"/>
        <d v="2023-08-07T00:00:00"/>
        <d v="2023-04-08T00:00:00"/>
        <d v="2023-11-27T00:00:00"/>
        <d v="2023-04-14T00:00:00"/>
        <d v="2023-07-04T00:00:00"/>
        <d v="2023-03-05T00:00:00"/>
        <d v="2023-04-21T00:00:00"/>
        <d v="2023-05-22T00:00:00"/>
        <d v="2023-03-11T00:00:00"/>
        <d v="2023-03-22T00:00:00"/>
        <d v="2023-08-14T00:00:00"/>
        <d v="2023-04-05T00:00:00"/>
        <d v="2023-12-31T00:00:00"/>
        <d v="2023-04-17T00:00:00"/>
        <d v="2023-03-15T00:00:00"/>
        <d v="2023-08-19T00:00:00"/>
        <d v="2023-06-29T00:00:00"/>
        <d v="2023-03-02T00:00:00"/>
        <d v="2023-11-04T00:00:00"/>
        <d v="2023-12-09T00:00:00"/>
        <d v="2023-05-28T00:00:00"/>
        <d v="2023-06-26T00:00:00"/>
        <d v="2023-02-14T00:00:00"/>
        <d v="2023-04-02T00:00:00"/>
        <d v="2023-03-10T00:00:00"/>
        <d v="2023-11-22T00:00:00"/>
        <d v="2023-09-06T00:00:00"/>
        <d v="2023-12-01T00:00:00"/>
        <d v="2023-10-14T00:00:00"/>
        <d v="2023-02-04T00:00:00"/>
        <d v="2023-02-12T00:00:00"/>
        <d v="2023-05-10T00:00:00"/>
        <d v="2023-01-16T00:00:00"/>
        <d v="2023-05-02T00:00:00"/>
        <d v="2023-08-18T00:00:00"/>
        <d v="2023-04-13T00:00:00"/>
        <d v="2023-06-23T00:00:00"/>
        <d v="2023-05-19T00:00:00"/>
        <d v="2023-10-09T00:00:00"/>
        <d v="2023-08-16T00:00:00"/>
        <d v="2023-09-19T00:00:00"/>
        <d v="2023-06-22T00:00:00"/>
        <d v="2023-02-11T00:00:00"/>
        <d v="2023-06-18T00:00:00"/>
        <d v="2023-02-17T00:00:00"/>
        <d v="2023-10-29T00:00:00"/>
        <d v="2023-07-29T00:00:00"/>
        <d v="2023-03-13T00:00:00"/>
        <d v="2023-06-17T00:00:00"/>
        <d v="2023-03-14T00:00:00"/>
        <d v="2023-04-24T00:00:00"/>
        <d v="2023-04-19T00:00:00"/>
        <d v="2023-10-30T00:00:00"/>
        <d v="2023-03-09T00:00:00"/>
        <d v="2023-02-28T00:00:00"/>
        <d v="2023-01-21T00:00:00"/>
        <d v="2023-03-16T00:00:00"/>
        <d v="2023-01-06T00:00:00"/>
        <d v="2023-06-16T00:00:00"/>
        <d v="2023-02-22T00:00:00"/>
        <d v="2023-10-20T00:00:00"/>
        <d v="2023-01-07T00:00:00"/>
        <d v="2023-06-20T00:00:00"/>
        <d v="2023-03-29T00:00:00"/>
        <d v="2023-08-26T00:00:00"/>
        <d v="2023-10-12T00:00:00"/>
        <d v="2023-09-26T00:00:00"/>
        <d v="2023-07-18T00:00:00"/>
        <d v="2023-06-11T00:00:00"/>
        <d v="2023-01-04T00:00:00"/>
        <d v="2023-07-14T00:00:00"/>
        <d v="2023-08-29T00:00:00"/>
        <d v="2023-10-01T00:00:00"/>
        <d v="2023-07-17T00:00:00"/>
        <d v="2023-01-12T00:00:00"/>
        <d v="2023-10-04T00:00:00"/>
        <d v="2023-06-14T00:00:00"/>
        <d v="2023-02-24T00:00:00"/>
        <d v="2023-08-12T00:00:00"/>
        <d v="2023-08-15T00:00:00"/>
        <d v="2023-01-17T00:00:00"/>
        <d v="2023-01-08T00:00:00"/>
        <d v="2023-12-30T00:00:00"/>
        <d v="2023-04-16T00:00:00"/>
        <d v="2023-04-10T00:00:00"/>
        <d v="2023-12-10T00:00:00"/>
        <d v="2023-07-06T00:00:00"/>
        <d v="2023-02-23T00:00:00"/>
        <d v="2023-03-04T00:00:00"/>
        <d v="2023-04-23T00:00:00"/>
        <d v="2023-02-18T00:00:00"/>
        <d v="2023-11-21T00:00:00"/>
        <d v="2023-05-16T00:00:00"/>
      </sharedItems>
      <fieldGroup par="12"/>
    </cacheField>
    <cacheField name="Region" numFmtId="0">
      <sharedItems count="4">
        <s v="East"/>
        <s v="South"/>
        <s v="North"/>
        <s v="West"/>
      </sharedItems>
    </cacheField>
    <cacheField name="Category" numFmtId="0">
      <sharedItems count="5">
        <s v="Clothing"/>
        <s v="Home &amp; Kitchen"/>
        <s v="Sports"/>
        <s v="Electronics"/>
        <s v="Beauty"/>
      </sharedItems>
    </cacheField>
    <cacheField name="Product_Name" numFmtId="0">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501" maxValue="4999"/>
    </cacheField>
    <cacheField name="Sales" numFmtId="0">
      <sharedItems containsSemiMixedTypes="0" containsString="0" containsNumber="1" containsInteger="1" minValue="575" maxValue="49960"/>
    </cacheField>
    <cacheField name="profit" numFmtId="0">
      <sharedItems containsSemiMixedTypes="0" containsString="0" containsNumber="1" containsInteger="1" minValue="111" maxValue="18373"/>
    </cacheField>
    <cacheField name="Payment_Mode" numFmtId="0">
      <sharedItems count="4">
        <s v="Cash on Delivery"/>
        <s v="Debit Card"/>
        <s v="Credit Card"/>
        <s v="UPI"/>
      </sharedItems>
    </cacheField>
    <cacheField name="Months (Order_Date)" numFmtId="0" databaseField="0">
      <fieldGroup base="1">
        <rangePr groupBy="months" startDate="2023-01-01T00:00:00" endDate="2024-01-02T00:00:00"/>
        <groupItems count="14">
          <s v="&lt;2023-01-01"/>
          <s v="Jan"/>
          <s v="Feb"/>
          <s v="Mar"/>
          <s v="Apr"/>
          <s v="May"/>
          <s v="Jun"/>
          <s v="Jul"/>
          <s v="Aug"/>
          <s v="Sep"/>
          <s v="Oct"/>
          <s v="Nov"/>
          <s v="Dec"/>
          <s v="&gt;2024-01-02"/>
        </groupItems>
      </fieldGroup>
    </cacheField>
    <cacheField name="Quarters (Order_Date)" numFmtId="0" databaseField="0">
      <fieldGroup base="1">
        <rangePr groupBy="quarters" startDate="2023-01-01T00:00:00" endDate="2024-01-02T00:00:00"/>
        <groupItems count="6">
          <s v="&lt;2023-01-01"/>
          <s v="Qtr1"/>
          <s v="Qtr2"/>
          <s v="Qtr3"/>
          <s v="Qtr4"/>
          <s v="&gt;2024-01-02"/>
        </groupItems>
      </fieldGroup>
    </cacheField>
    <cacheField name="Years (Order_Date)" numFmtId="0" databaseField="0">
      <fieldGroup base="1">
        <rangePr groupBy="years" startDate="2023-01-01T00:00:00" endDate="2024-01-02T00:00:00"/>
        <groupItems count="4">
          <s v="&lt;2023-01-01"/>
          <s v="2023"/>
          <s v="2024"/>
          <s v="&gt;2024-01-02"/>
        </groupItems>
      </fieldGroup>
    </cacheField>
  </cacheFields>
  <extLst>
    <ext xmlns:x14="http://schemas.microsoft.com/office/spreadsheetml/2009/9/main" uri="{725AE2AE-9491-48be-B2B4-4EB974FC3084}">
      <x14:pivotCacheDefinition pivotCacheId="18939356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x v="0"/>
    <x v="0"/>
    <x v="0"/>
    <s v="Product_37"/>
    <n v="5"/>
    <n v="2355"/>
    <n v="11775"/>
    <n v="3599"/>
    <x v="0"/>
  </r>
  <r>
    <s v="ORD0002"/>
    <x v="1"/>
    <x v="0"/>
    <x v="1"/>
    <s v="Product_32"/>
    <n v="5"/>
    <n v="2209"/>
    <n v="11045"/>
    <n v="2751"/>
    <x v="1"/>
  </r>
  <r>
    <s v="ORD0003"/>
    <x v="2"/>
    <x v="1"/>
    <x v="2"/>
    <s v="Product_38"/>
    <n v="8"/>
    <n v="4590"/>
    <n v="36720"/>
    <n v="8894"/>
    <x v="2"/>
  </r>
  <r>
    <s v="ORD0004"/>
    <x v="3"/>
    <x v="2"/>
    <x v="3"/>
    <s v="Product_8"/>
    <n v="10"/>
    <n v="752"/>
    <n v="7520"/>
    <n v="1728"/>
    <x v="0"/>
  </r>
  <r>
    <s v="ORD0005"/>
    <x v="4"/>
    <x v="1"/>
    <x v="1"/>
    <s v="Product_20"/>
    <n v="10"/>
    <n v="3044"/>
    <n v="30440"/>
    <n v="7576"/>
    <x v="1"/>
  </r>
  <r>
    <s v="ORD0006"/>
    <x v="5"/>
    <x v="3"/>
    <x v="0"/>
    <s v="Product_42"/>
    <n v="1"/>
    <n v="1890"/>
    <n v="1890"/>
    <n v="215"/>
    <x v="3"/>
  </r>
  <r>
    <s v="ORD0007"/>
    <x v="4"/>
    <x v="3"/>
    <x v="2"/>
    <s v="Product_13"/>
    <n v="10"/>
    <n v="1226"/>
    <n v="12260"/>
    <n v="2566"/>
    <x v="0"/>
  </r>
  <r>
    <s v="ORD0008"/>
    <x v="6"/>
    <x v="3"/>
    <x v="1"/>
    <s v="Product_31"/>
    <n v="3"/>
    <n v="3411"/>
    <n v="10233"/>
    <n v="3892"/>
    <x v="1"/>
  </r>
  <r>
    <s v="ORD0009"/>
    <x v="7"/>
    <x v="1"/>
    <x v="1"/>
    <s v="Product_16"/>
    <n v="1"/>
    <n v="919"/>
    <n v="919"/>
    <n v="347"/>
    <x v="2"/>
  </r>
  <r>
    <s v="ORD0010"/>
    <x v="8"/>
    <x v="1"/>
    <x v="4"/>
    <s v="Product_2"/>
    <n v="9"/>
    <n v="1686"/>
    <n v="15174"/>
    <n v="4615"/>
    <x v="2"/>
  </r>
  <r>
    <s v="ORD0011"/>
    <x v="9"/>
    <x v="0"/>
    <x v="1"/>
    <s v="Product_44"/>
    <n v="5"/>
    <n v="3636"/>
    <n v="18180"/>
    <n v="6860"/>
    <x v="2"/>
  </r>
  <r>
    <s v="ORD0012"/>
    <x v="10"/>
    <x v="3"/>
    <x v="3"/>
    <s v="Product_8"/>
    <n v="3"/>
    <n v="2014"/>
    <n v="6042"/>
    <n v="1042"/>
    <x v="2"/>
  </r>
  <r>
    <s v="ORD0013"/>
    <x v="11"/>
    <x v="0"/>
    <x v="0"/>
    <s v="Product_39"/>
    <n v="4"/>
    <n v="2127"/>
    <n v="8508"/>
    <n v="1319"/>
    <x v="0"/>
  </r>
  <r>
    <s v="ORD0014"/>
    <x v="12"/>
    <x v="1"/>
    <x v="3"/>
    <s v="Product_22"/>
    <n v="8"/>
    <n v="2739"/>
    <n v="21912"/>
    <n v="3005"/>
    <x v="2"/>
  </r>
  <r>
    <s v="ORD0015"/>
    <x v="13"/>
    <x v="0"/>
    <x v="2"/>
    <s v="Product_38"/>
    <n v="9"/>
    <n v="1485"/>
    <n v="13365"/>
    <n v="2856"/>
    <x v="3"/>
  </r>
  <r>
    <s v="ORD0016"/>
    <x v="14"/>
    <x v="2"/>
    <x v="3"/>
    <s v="Product_30"/>
    <n v="9"/>
    <n v="4152"/>
    <n v="37368"/>
    <n v="8190"/>
    <x v="0"/>
  </r>
  <r>
    <s v="ORD0017"/>
    <x v="0"/>
    <x v="2"/>
    <x v="4"/>
    <s v="Product_28"/>
    <n v="3"/>
    <n v="4412"/>
    <n v="13236"/>
    <n v="4386"/>
    <x v="3"/>
  </r>
  <r>
    <s v="ORD0018"/>
    <x v="15"/>
    <x v="2"/>
    <x v="2"/>
    <s v="Product_7"/>
    <n v="8"/>
    <n v="2715"/>
    <n v="21720"/>
    <n v="5359"/>
    <x v="2"/>
  </r>
  <r>
    <s v="ORD0019"/>
    <x v="16"/>
    <x v="0"/>
    <x v="0"/>
    <s v="Product_44"/>
    <n v="6"/>
    <n v="1240"/>
    <n v="7440"/>
    <n v="2197"/>
    <x v="0"/>
  </r>
  <r>
    <s v="ORD0020"/>
    <x v="8"/>
    <x v="1"/>
    <x v="0"/>
    <s v="Product_3"/>
    <n v="9"/>
    <n v="641"/>
    <n v="5769"/>
    <n v="2231"/>
    <x v="1"/>
  </r>
  <r>
    <s v="ORD0021"/>
    <x v="17"/>
    <x v="1"/>
    <x v="2"/>
    <s v="Product_24"/>
    <n v="6"/>
    <n v="706"/>
    <n v="4236"/>
    <n v="1287"/>
    <x v="1"/>
  </r>
  <r>
    <s v="ORD0022"/>
    <x v="18"/>
    <x v="1"/>
    <x v="0"/>
    <s v="Product_14"/>
    <n v="7"/>
    <n v="853"/>
    <n v="5971"/>
    <n v="1300"/>
    <x v="2"/>
  </r>
  <r>
    <s v="ORD0023"/>
    <x v="19"/>
    <x v="1"/>
    <x v="3"/>
    <s v="Product_18"/>
    <n v="6"/>
    <n v="4092"/>
    <n v="24552"/>
    <n v="8398"/>
    <x v="1"/>
  </r>
  <r>
    <s v="ORD0024"/>
    <x v="20"/>
    <x v="1"/>
    <x v="3"/>
    <s v="Product_30"/>
    <n v="6"/>
    <n v="3259"/>
    <n v="19554"/>
    <n v="5886"/>
    <x v="2"/>
  </r>
  <r>
    <s v="ORD0025"/>
    <x v="21"/>
    <x v="1"/>
    <x v="1"/>
    <s v="Product_30"/>
    <n v="3"/>
    <n v="962"/>
    <n v="2886"/>
    <n v="390"/>
    <x v="1"/>
  </r>
  <r>
    <s v="ORD0026"/>
    <x v="22"/>
    <x v="2"/>
    <x v="1"/>
    <s v="Product_1"/>
    <n v="10"/>
    <n v="2938"/>
    <n v="29380"/>
    <n v="3171"/>
    <x v="0"/>
  </r>
  <r>
    <s v="ORD0027"/>
    <x v="23"/>
    <x v="2"/>
    <x v="3"/>
    <s v="Product_44"/>
    <n v="6"/>
    <n v="1132"/>
    <n v="6792"/>
    <n v="2491"/>
    <x v="0"/>
  </r>
  <r>
    <s v="ORD0028"/>
    <x v="24"/>
    <x v="3"/>
    <x v="4"/>
    <s v="Product_49"/>
    <n v="10"/>
    <n v="3910"/>
    <n v="39100"/>
    <n v="10338"/>
    <x v="2"/>
  </r>
  <r>
    <s v="ORD0029"/>
    <x v="25"/>
    <x v="1"/>
    <x v="0"/>
    <s v="Product_32"/>
    <n v="10"/>
    <n v="2973"/>
    <n v="29730"/>
    <n v="11266"/>
    <x v="3"/>
  </r>
  <r>
    <s v="ORD0030"/>
    <x v="26"/>
    <x v="0"/>
    <x v="0"/>
    <s v="Product_48"/>
    <n v="8"/>
    <n v="2027"/>
    <n v="16216"/>
    <n v="2707"/>
    <x v="1"/>
  </r>
  <r>
    <s v="ORD0031"/>
    <x v="27"/>
    <x v="2"/>
    <x v="3"/>
    <s v="Product_2"/>
    <n v="5"/>
    <n v="4462"/>
    <n v="22310"/>
    <n v="5200"/>
    <x v="0"/>
  </r>
  <r>
    <s v="ORD0032"/>
    <x v="28"/>
    <x v="0"/>
    <x v="0"/>
    <s v="Product_14"/>
    <n v="9"/>
    <n v="2941"/>
    <n v="26469"/>
    <n v="4339"/>
    <x v="3"/>
  </r>
  <r>
    <s v="ORD0033"/>
    <x v="29"/>
    <x v="3"/>
    <x v="1"/>
    <s v="Product_36"/>
    <n v="4"/>
    <n v="2706"/>
    <n v="10824"/>
    <n v="2666"/>
    <x v="3"/>
  </r>
  <r>
    <s v="ORD0034"/>
    <x v="30"/>
    <x v="3"/>
    <x v="0"/>
    <s v="Product_27"/>
    <n v="10"/>
    <n v="3565"/>
    <n v="35650"/>
    <n v="4447"/>
    <x v="3"/>
  </r>
  <r>
    <s v="ORD0035"/>
    <x v="31"/>
    <x v="1"/>
    <x v="0"/>
    <s v="Product_37"/>
    <n v="9"/>
    <n v="2551"/>
    <n v="22959"/>
    <n v="6966"/>
    <x v="0"/>
  </r>
  <r>
    <s v="ORD0036"/>
    <x v="32"/>
    <x v="1"/>
    <x v="4"/>
    <s v="Product_28"/>
    <n v="9"/>
    <n v="690"/>
    <n v="6210"/>
    <n v="852"/>
    <x v="1"/>
  </r>
  <r>
    <s v="ORD0037"/>
    <x v="4"/>
    <x v="3"/>
    <x v="3"/>
    <s v="Product_7"/>
    <n v="4"/>
    <n v="4013"/>
    <n v="16052"/>
    <n v="3615"/>
    <x v="0"/>
  </r>
  <r>
    <s v="ORD0038"/>
    <x v="33"/>
    <x v="2"/>
    <x v="3"/>
    <s v="Product_8"/>
    <n v="1"/>
    <n v="2359"/>
    <n v="2359"/>
    <n v="398"/>
    <x v="1"/>
  </r>
  <r>
    <s v="ORD0039"/>
    <x v="34"/>
    <x v="0"/>
    <x v="4"/>
    <s v="Product_39"/>
    <n v="10"/>
    <n v="3552"/>
    <n v="35520"/>
    <n v="13429"/>
    <x v="3"/>
  </r>
  <r>
    <s v="ORD0040"/>
    <x v="35"/>
    <x v="2"/>
    <x v="4"/>
    <s v="Product_50"/>
    <n v="8"/>
    <n v="4013"/>
    <n v="32104"/>
    <n v="6463"/>
    <x v="2"/>
  </r>
  <r>
    <s v="ORD0041"/>
    <x v="36"/>
    <x v="1"/>
    <x v="3"/>
    <s v="Product_4"/>
    <n v="6"/>
    <n v="3337"/>
    <n v="20022"/>
    <n v="7924"/>
    <x v="3"/>
  </r>
  <r>
    <s v="ORD0042"/>
    <x v="24"/>
    <x v="2"/>
    <x v="2"/>
    <s v="Product_44"/>
    <n v="3"/>
    <n v="658"/>
    <n v="1974"/>
    <n v="685"/>
    <x v="3"/>
  </r>
  <r>
    <s v="ORD0043"/>
    <x v="37"/>
    <x v="0"/>
    <x v="3"/>
    <s v="Product_29"/>
    <n v="1"/>
    <n v="2945"/>
    <n v="2945"/>
    <n v="546"/>
    <x v="3"/>
  </r>
  <r>
    <s v="ORD0044"/>
    <x v="38"/>
    <x v="3"/>
    <x v="3"/>
    <s v="Product_14"/>
    <n v="3"/>
    <n v="1686"/>
    <n v="5058"/>
    <n v="1448"/>
    <x v="0"/>
  </r>
  <r>
    <s v="ORD0045"/>
    <x v="39"/>
    <x v="1"/>
    <x v="0"/>
    <s v="Product_13"/>
    <n v="2"/>
    <n v="621"/>
    <n v="1242"/>
    <n v="312"/>
    <x v="0"/>
  </r>
  <r>
    <s v="ORD0046"/>
    <x v="40"/>
    <x v="0"/>
    <x v="2"/>
    <s v="Product_48"/>
    <n v="10"/>
    <n v="2464"/>
    <n v="24640"/>
    <n v="5269"/>
    <x v="3"/>
  </r>
  <r>
    <s v="ORD0047"/>
    <x v="41"/>
    <x v="3"/>
    <x v="0"/>
    <s v="Product_16"/>
    <n v="4"/>
    <n v="1420"/>
    <n v="5680"/>
    <n v="1451"/>
    <x v="2"/>
  </r>
  <r>
    <s v="ORD0048"/>
    <x v="42"/>
    <x v="1"/>
    <x v="2"/>
    <s v="Product_36"/>
    <n v="4"/>
    <n v="3003"/>
    <n v="12012"/>
    <n v="1941"/>
    <x v="3"/>
  </r>
  <r>
    <s v="ORD0049"/>
    <x v="43"/>
    <x v="1"/>
    <x v="3"/>
    <s v="Product_22"/>
    <n v="7"/>
    <n v="4549"/>
    <n v="31843"/>
    <n v="6448"/>
    <x v="1"/>
  </r>
  <r>
    <s v="ORD0050"/>
    <x v="44"/>
    <x v="0"/>
    <x v="2"/>
    <s v="Product_5"/>
    <n v="7"/>
    <n v="1632"/>
    <n v="11424"/>
    <n v="3337"/>
    <x v="2"/>
  </r>
  <r>
    <s v="ORD0051"/>
    <x v="45"/>
    <x v="0"/>
    <x v="1"/>
    <s v="Product_47"/>
    <n v="2"/>
    <n v="3663"/>
    <n v="7326"/>
    <n v="1590"/>
    <x v="3"/>
  </r>
  <r>
    <s v="ORD0052"/>
    <x v="46"/>
    <x v="2"/>
    <x v="4"/>
    <s v="Product_32"/>
    <n v="8"/>
    <n v="4957"/>
    <n v="39656"/>
    <n v="7579"/>
    <x v="1"/>
  </r>
  <r>
    <s v="ORD0053"/>
    <x v="47"/>
    <x v="1"/>
    <x v="0"/>
    <s v="Product_22"/>
    <n v="4"/>
    <n v="2782"/>
    <n v="11128"/>
    <n v="3037"/>
    <x v="0"/>
  </r>
  <r>
    <s v="ORD0054"/>
    <x v="48"/>
    <x v="0"/>
    <x v="4"/>
    <s v="Product_27"/>
    <n v="7"/>
    <n v="3470"/>
    <n v="24290"/>
    <n v="4415"/>
    <x v="3"/>
  </r>
  <r>
    <s v="ORD0055"/>
    <x v="17"/>
    <x v="0"/>
    <x v="1"/>
    <s v="Product_3"/>
    <n v="3"/>
    <n v="1327"/>
    <n v="3981"/>
    <n v="662"/>
    <x v="2"/>
  </r>
  <r>
    <s v="ORD0056"/>
    <x v="49"/>
    <x v="0"/>
    <x v="4"/>
    <s v="Product_18"/>
    <n v="4"/>
    <n v="883"/>
    <n v="3532"/>
    <n v="1145"/>
    <x v="1"/>
  </r>
  <r>
    <s v="ORD0057"/>
    <x v="39"/>
    <x v="2"/>
    <x v="2"/>
    <s v="Product_48"/>
    <n v="6"/>
    <n v="2797"/>
    <n v="16782"/>
    <n v="3624"/>
    <x v="1"/>
  </r>
  <r>
    <s v="ORD0058"/>
    <x v="50"/>
    <x v="0"/>
    <x v="2"/>
    <s v="Product_7"/>
    <n v="7"/>
    <n v="4301"/>
    <n v="30107"/>
    <n v="6291"/>
    <x v="1"/>
  </r>
  <r>
    <s v="ORD0059"/>
    <x v="51"/>
    <x v="3"/>
    <x v="2"/>
    <s v="Product_26"/>
    <n v="2"/>
    <n v="1240"/>
    <n v="2480"/>
    <n v="778"/>
    <x v="1"/>
  </r>
  <r>
    <s v="ORD0060"/>
    <x v="52"/>
    <x v="3"/>
    <x v="3"/>
    <s v="Product_6"/>
    <n v="8"/>
    <n v="3846"/>
    <n v="30768"/>
    <n v="8855"/>
    <x v="3"/>
  </r>
  <r>
    <s v="ORD0061"/>
    <x v="53"/>
    <x v="1"/>
    <x v="1"/>
    <s v="Product_44"/>
    <n v="1"/>
    <n v="2768"/>
    <n v="2768"/>
    <n v="875"/>
    <x v="3"/>
  </r>
  <r>
    <s v="ORD0062"/>
    <x v="34"/>
    <x v="2"/>
    <x v="2"/>
    <s v="Product_32"/>
    <n v="4"/>
    <n v="1803"/>
    <n v="7212"/>
    <n v="1143"/>
    <x v="3"/>
  </r>
  <r>
    <s v="ORD0063"/>
    <x v="54"/>
    <x v="2"/>
    <x v="0"/>
    <s v="Product_47"/>
    <n v="4"/>
    <n v="3026"/>
    <n v="12104"/>
    <n v="2901"/>
    <x v="3"/>
  </r>
  <r>
    <s v="ORD0064"/>
    <x v="55"/>
    <x v="3"/>
    <x v="4"/>
    <s v="Product_45"/>
    <n v="2"/>
    <n v="2965"/>
    <n v="5930"/>
    <n v="1399"/>
    <x v="1"/>
  </r>
  <r>
    <s v="ORD0065"/>
    <x v="56"/>
    <x v="3"/>
    <x v="0"/>
    <s v="Product_8"/>
    <n v="5"/>
    <n v="2709"/>
    <n v="13545"/>
    <n v="3960"/>
    <x v="2"/>
  </r>
  <r>
    <s v="ORD0066"/>
    <x v="57"/>
    <x v="3"/>
    <x v="0"/>
    <s v="Product_27"/>
    <n v="3"/>
    <n v="4492"/>
    <n v="13476"/>
    <n v="4425"/>
    <x v="0"/>
  </r>
  <r>
    <s v="ORD0067"/>
    <x v="58"/>
    <x v="0"/>
    <x v="4"/>
    <s v="Product_36"/>
    <n v="9"/>
    <n v="1585"/>
    <n v="14265"/>
    <n v="3129"/>
    <x v="2"/>
  </r>
  <r>
    <s v="ORD0068"/>
    <x v="59"/>
    <x v="1"/>
    <x v="4"/>
    <s v="Product_23"/>
    <n v="2"/>
    <n v="738"/>
    <n v="1476"/>
    <n v="300"/>
    <x v="1"/>
  </r>
  <r>
    <s v="ORD0069"/>
    <x v="60"/>
    <x v="2"/>
    <x v="2"/>
    <s v="Product_13"/>
    <n v="5"/>
    <n v="2094"/>
    <n v="10470"/>
    <n v="3089"/>
    <x v="0"/>
  </r>
  <r>
    <s v="ORD0070"/>
    <x v="4"/>
    <x v="0"/>
    <x v="0"/>
    <s v="Product_9"/>
    <n v="3"/>
    <n v="4326"/>
    <n v="12978"/>
    <n v="1840"/>
    <x v="2"/>
  </r>
  <r>
    <s v="ORD0071"/>
    <x v="61"/>
    <x v="0"/>
    <x v="2"/>
    <s v="Product_12"/>
    <n v="5"/>
    <n v="1390"/>
    <n v="6950"/>
    <n v="2117"/>
    <x v="0"/>
  </r>
  <r>
    <s v="ORD0072"/>
    <x v="62"/>
    <x v="3"/>
    <x v="1"/>
    <s v="Product_25"/>
    <n v="4"/>
    <n v="553"/>
    <n v="2212"/>
    <n v="626"/>
    <x v="3"/>
  </r>
  <r>
    <s v="ORD0073"/>
    <x v="63"/>
    <x v="1"/>
    <x v="0"/>
    <s v="Product_50"/>
    <n v="4"/>
    <n v="3333"/>
    <n v="13332"/>
    <n v="3119"/>
    <x v="0"/>
  </r>
  <r>
    <s v="ORD0074"/>
    <x v="64"/>
    <x v="2"/>
    <x v="1"/>
    <s v="Product_22"/>
    <n v="8"/>
    <n v="2000"/>
    <n v="16000"/>
    <n v="6257"/>
    <x v="0"/>
  </r>
  <r>
    <s v="ORD0075"/>
    <x v="65"/>
    <x v="0"/>
    <x v="0"/>
    <s v="Product_18"/>
    <n v="2"/>
    <n v="1835"/>
    <n v="3670"/>
    <n v="933"/>
    <x v="2"/>
  </r>
  <r>
    <s v="ORD0076"/>
    <x v="66"/>
    <x v="3"/>
    <x v="4"/>
    <s v="Product_47"/>
    <n v="10"/>
    <n v="2715"/>
    <n v="27150"/>
    <n v="7366"/>
    <x v="1"/>
  </r>
  <r>
    <s v="ORD0077"/>
    <x v="67"/>
    <x v="2"/>
    <x v="4"/>
    <s v="Product_18"/>
    <n v="9"/>
    <n v="4948"/>
    <n v="44532"/>
    <n v="10786"/>
    <x v="1"/>
  </r>
  <r>
    <s v="ORD0078"/>
    <x v="68"/>
    <x v="3"/>
    <x v="1"/>
    <s v="Product_17"/>
    <n v="10"/>
    <n v="3938"/>
    <n v="39380"/>
    <n v="9440"/>
    <x v="3"/>
  </r>
  <r>
    <s v="ORD0079"/>
    <x v="69"/>
    <x v="2"/>
    <x v="0"/>
    <s v="Product_45"/>
    <n v="4"/>
    <n v="4838"/>
    <n v="19352"/>
    <n v="3888"/>
    <x v="1"/>
  </r>
  <r>
    <s v="ORD0080"/>
    <x v="70"/>
    <x v="2"/>
    <x v="1"/>
    <s v="Product_30"/>
    <n v="4"/>
    <n v="3970"/>
    <n v="15880"/>
    <n v="5607"/>
    <x v="1"/>
  </r>
  <r>
    <s v="ORD0081"/>
    <x v="71"/>
    <x v="2"/>
    <x v="0"/>
    <s v="Product_24"/>
    <n v="2"/>
    <n v="720"/>
    <n v="1440"/>
    <n v="395"/>
    <x v="0"/>
  </r>
  <r>
    <s v="ORD0082"/>
    <x v="72"/>
    <x v="2"/>
    <x v="1"/>
    <s v="Product_24"/>
    <n v="4"/>
    <n v="1913"/>
    <n v="7652"/>
    <n v="2672"/>
    <x v="0"/>
  </r>
  <r>
    <s v="ORD0083"/>
    <x v="73"/>
    <x v="0"/>
    <x v="2"/>
    <s v="Product_32"/>
    <n v="9"/>
    <n v="3032"/>
    <n v="27288"/>
    <n v="7614"/>
    <x v="3"/>
  </r>
  <r>
    <s v="ORD0084"/>
    <x v="27"/>
    <x v="1"/>
    <x v="4"/>
    <s v="Product_25"/>
    <n v="4"/>
    <n v="3790"/>
    <n v="15160"/>
    <n v="5652"/>
    <x v="3"/>
  </r>
  <r>
    <s v="ORD0085"/>
    <x v="74"/>
    <x v="2"/>
    <x v="0"/>
    <s v="Product_13"/>
    <n v="10"/>
    <n v="4080"/>
    <n v="40800"/>
    <n v="15121"/>
    <x v="3"/>
  </r>
  <r>
    <s v="ORD0086"/>
    <x v="75"/>
    <x v="2"/>
    <x v="4"/>
    <s v="Product_3"/>
    <n v="7"/>
    <n v="3536"/>
    <n v="24752"/>
    <n v="6930"/>
    <x v="2"/>
  </r>
  <r>
    <s v="ORD0087"/>
    <x v="76"/>
    <x v="1"/>
    <x v="3"/>
    <s v="Product_6"/>
    <n v="1"/>
    <n v="1034"/>
    <n v="1034"/>
    <n v="213"/>
    <x v="0"/>
  </r>
  <r>
    <s v="ORD0088"/>
    <x v="77"/>
    <x v="1"/>
    <x v="4"/>
    <s v="Product_29"/>
    <n v="6"/>
    <n v="2204"/>
    <n v="13224"/>
    <n v="2473"/>
    <x v="1"/>
  </r>
  <r>
    <s v="ORD0089"/>
    <x v="78"/>
    <x v="2"/>
    <x v="3"/>
    <s v="Product_11"/>
    <n v="7"/>
    <n v="2332"/>
    <n v="16324"/>
    <n v="3409"/>
    <x v="3"/>
  </r>
  <r>
    <s v="ORD0090"/>
    <x v="79"/>
    <x v="2"/>
    <x v="2"/>
    <s v="Product_41"/>
    <n v="8"/>
    <n v="3520"/>
    <n v="28160"/>
    <n v="7674"/>
    <x v="1"/>
  </r>
  <r>
    <s v="ORD0091"/>
    <x v="80"/>
    <x v="2"/>
    <x v="3"/>
    <s v="Product_21"/>
    <n v="1"/>
    <n v="2082"/>
    <n v="2082"/>
    <n v="755"/>
    <x v="1"/>
  </r>
  <r>
    <s v="ORD0092"/>
    <x v="81"/>
    <x v="2"/>
    <x v="3"/>
    <s v="Product_6"/>
    <n v="5"/>
    <n v="1243"/>
    <n v="6215"/>
    <n v="1759"/>
    <x v="0"/>
  </r>
  <r>
    <s v="ORD0093"/>
    <x v="82"/>
    <x v="1"/>
    <x v="4"/>
    <s v="Product_16"/>
    <n v="8"/>
    <n v="4478"/>
    <n v="35824"/>
    <n v="6126"/>
    <x v="2"/>
  </r>
  <r>
    <s v="ORD0094"/>
    <x v="83"/>
    <x v="0"/>
    <x v="1"/>
    <s v="Product_3"/>
    <n v="9"/>
    <n v="1485"/>
    <n v="13365"/>
    <n v="5000"/>
    <x v="1"/>
  </r>
  <r>
    <s v="ORD0095"/>
    <x v="84"/>
    <x v="2"/>
    <x v="0"/>
    <s v="Product_27"/>
    <n v="7"/>
    <n v="4455"/>
    <n v="31185"/>
    <n v="6184"/>
    <x v="3"/>
  </r>
  <r>
    <s v="ORD0096"/>
    <x v="85"/>
    <x v="0"/>
    <x v="4"/>
    <s v="Product_21"/>
    <n v="4"/>
    <n v="1844"/>
    <n v="7376"/>
    <n v="1422"/>
    <x v="3"/>
  </r>
  <r>
    <s v="ORD0097"/>
    <x v="80"/>
    <x v="0"/>
    <x v="3"/>
    <s v="Product_21"/>
    <n v="4"/>
    <n v="3891"/>
    <n v="15564"/>
    <n v="5644"/>
    <x v="2"/>
  </r>
  <r>
    <s v="ORD0098"/>
    <x v="58"/>
    <x v="2"/>
    <x v="4"/>
    <s v="Product_4"/>
    <n v="7"/>
    <n v="840"/>
    <n v="5880"/>
    <n v="1463"/>
    <x v="2"/>
  </r>
  <r>
    <s v="ORD0099"/>
    <x v="86"/>
    <x v="1"/>
    <x v="3"/>
    <s v="Product_28"/>
    <n v="9"/>
    <n v="3656"/>
    <n v="32904"/>
    <n v="8811"/>
    <x v="0"/>
  </r>
  <r>
    <s v="ORD0100"/>
    <x v="87"/>
    <x v="1"/>
    <x v="2"/>
    <s v="Product_28"/>
    <n v="8"/>
    <n v="4807"/>
    <n v="38456"/>
    <n v="9199"/>
    <x v="2"/>
  </r>
  <r>
    <s v="ORD0101"/>
    <x v="88"/>
    <x v="1"/>
    <x v="2"/>
    <s v="Product_20"/>
    <n v="2"/>
    <n v="3300"/>
    <n v="6600"/>
    <n v="727"/>
    <x v="0"/>
  </r>
  <r>
    <s v="ORD0102"/>
    <x v="89"/>
    <x v="1"/>
    <x v="3"/>
    <s v="Product_7"/>
    <n v="6"/>
    <n v="2721"/>
    <n v="16326"/>
    <n v="4766"/>
    <x v="3"/>
  </r>
  <r>
    <s v="ORD0103"/>
    <x v="90"/>
    <x v="3"/>
    <x v="0"/>
    <s v="Product_48"/>
    <n v="4"/>
    <n v="3193"/>
    <n v="12772"/>
    <n v="1974"/>
    <x v="1"/>
  </r>
  <r>
    <s v="ORD0104"/>
    <x v="63"/>
    <x v="3"/>
    <x v="3"/>
    <s v="Product_29"/>
    <n v="3"/>
    <n v="4281"/>
    <n v="12843"/>
    <n v="4017"/>
    <x v="0"/>
  </r>
  <r>
    <s v="ORD0105"/>
    <x v="91"/>
    <x v="3"/>
    <x v="0"/>
    <s v="Product_33"/>
    <n v="2"/>
    <n v="1281"/>
    <n v="2562"/>
    <n v="983"/>
    <x v="0"/>
  </r>
  <r>
    <s v="ORD0106"/>
    <x v="60"/>
    <x v="2"/>
    <x v="2"/>
    <s v="Product_6"/>
    <n v="4"/>
    <n v="4015"/>
    <n v="16060"/>
    <n v="3034"/>
    <x v="2"/>
  </r>
  <r>
    <s v="ORD0107"/>
    <x v="86"/>
    <x v="2"/>
    <x v="4"/>
    <s v="Product_5"/>
    <n v="5"/>
    <n v="1013"/>
    <n v="5065"/>
    <n v="705"/>
    <x v="0"/>
  </r>
  <r>
    <s v="ORD0108"/>
    <x v="3"/>
    <x v="1"/>
    <x v="1"/>
    <s v="Product_21"/>
    <n v="7"/>
    <n v="3925"/>
    <n v="27475"/>
    <n v="3471"/>
    <x v="0"/>
  </r>
  <r>
    <s v="ORD0109"/>
    <x v="92"/>
    <x v="0"/>
    <x v="0"/>
    <s v="Product_35"/>
    <n v="4"/>
    <n v="763"/>
    <n v="3052"/>
    <n v="666"/>
    <x v="0"/>
  </r>
  <r>
    <s v="ORD0110"/>
    <x v="93"/>
    <x v="3"/>
    <x v="4"/>
    <s v="Product_6"/>
    <n v="6"/>
    <n v="2124"/>
    <n v="12744"/>
    <n v="3478"/>
    <x v="3"/>
  </r>
  <r>
    <s v="ORD0111"/>
    <x v="94"/>
    <x v="2"/>
    <x v="0"/>
    <s v="Product_35"/>
    <n v="4"/>
    <n v="4387"/>
    <n v="17548"/>
    <n v="6611"/>
    <x v="2"/>
  </r>
  <r>
    <s v="ORD0112"/>
    <x v="95"/>
    <x v="2"/>
    <x v="1"/>
    <s v="Product_7"/>
    <n v="1"/>
    <n v="585"/>
    <n v="585"/>
    <n v="137"/>
    <x v="1"/>
  </r>
  <r>
    <s v="ORD0113"/>
    <x v="96"/>
    <x v="1"/>
    <x v="1"/>
    <s v="Product_1"/>
    <n v="9"/>
    <n v="4985"/>
    <n v="44865"/>
    <n v="8203"/>
    <x v="2"/>
  </r>
  <r>
    <s v="ORD0114"/>
    <x v="46"/>
    <x v="2"/>
    <x v="1"/>
    <s v="Product_46"/>
    <n v="8"/>
    <n v="1768"/>
    <n v="14144"/>
    <n v="2848"/>
    <x v="0"/>
  </r>
  <r>
    <s v="ORD0115"/>
    <x v="97"/>
    <x v="2"/>
    <x v="2"/>
    <s v="Product_44"/>
    <n v="10"/>
    <n v="3091"/>
    <n v="30910"/>
    <n v="6611"/>
    <x v="3"/>
  </r>
  <r>
    <s v="ORD0116"/>
    <x v="98"/>
    <x v="3"/>
    <x v="0"/>
    <s v="Product_38"/>
    <n v="7"/>
    <n v="1324"/>
    <n v="9268"/>
    <n v="2045"/>
    <x v="2"/>
  </r>
  <r>
    <s v="ORD0117"/>
    <x v="89"/>
    <x v="0"/>
    <x v="0"/>
    <s v="Product_44"/>
    <n v="4"/>
    <n v="2185"/>
    <n v="8740"/>
    <n v="2018"/>
    <x v="0"/>
  </r>
  <r>
    <s v="ORD0118"/>
    <x v="99"/>
    <x v="3"/>
    <x v="1"/>
    <s v="Product_7"/>
    <n v="2"/>
    <n v="4049"/>
    <n v="8098"/>
    <n v="2412"/>
    <x v="0"/>
  </r>
  <r>
    <s v="ORD0119"/>
    <x v="100"/>
    <x v="3"/>
    <x v="2"/>
    <s v="Product_22"/>
    <n v="7"/>
    <n v="3091"/>
    <n v="21637"/>
    <n v="2412"/>
    <x v="3"/>
  </r>
  <r>
    <s v="ORD0120"/>
    <x v="101"/>
    <x v="2"/>
    <x v="4"/>
    <s v="Product_5"/>
    <n v="4"/>
    <n v="4194"/>
    <n v="16776"/>
    <n v="3789"/>
    <x v="0"/>
  </r>
  <r>
    <s v="ORD0121"/>
    <x v="33"/>
    <x v="2"/>
    <x v="3"/>
    <s v="Product_11"/>
    <n v="5"/>
    <n v="1405"/>
    <n v="7025"/>
    <n v="1221"/>
    <x v="2"/>
  </r>
  <r>
    <s v="ORD0122"/>
    <x v="102"/>
    <x v="1"/>
    <x v="1"/>
    <s v="Product_14"/>
    <n v="2"/>
    <n v="3282"/>
    <n v="6564"/>
    <n v="820"/>
    <x v="1"/>
  </r>
  <r>
    <s v="ORD0123"/>
    <x v="103"/>
    <x v="3"/>
    <x v="1"/>
    <s v="Product_13"/>
    <n v="5"/>
    <n v="3311"/>
    <n v="16555"/>
    <n v="5519"/>
    <x v="2"/>
  </r>
  <r>
    <s v="ORD0124"/>
    <x v="104"/>
    <x v="2"/>
    <x v="0"/>
    <s v="Product_3"/>
    <n v="9"/>
    <n v="2014"/>
    <n v="18126"/>
    <n v="6327"/>
    <x v="2"/>
  </r>
  <r>
    <s v="ORD0125"/>
    <x v="105"/>
    <x v="0"/>
    <x v="4"/>
    <s v="Product_24"/>
    <n v="1"/>
    <n v="1817"/>
    <n v="1817"/>
    <n v="430"/>
    <x v="2"/>
  </r>
  <r>
    <s v="ORD0126"/>
    <x v="106"/>
    <x v="3"/>
    <x v="0"/>
    <s v="Product_49"/>
    <n v="5"/>
    <n v="4480"/>
    <n v="22400"/>
    <n v="7795"/>
    <x v="0"/>
  </r>
  <r>
    <s v="ORD0127"/>
    <x v="107"/>
    <x v="0"/>
    <x v="3"/>
    <s v="Product_33"/>
    <n v="7"/>
    <n v="892"/>
    <n v="6244"/>
    <n v="1248"/>
    <x v="2"/>
  </r>
  <r>
    <s v="ORD0128"/>
    <x v="108"/>
    <x v="2"/>
    <x v="2"/>
    <s v="Product_20"/>
    <n v="3"/>
    <n v="2860"/>
    <n v="8580"/>
    <n v="1808"/>
    <x v="3"/>
  </r>
  <r>
    <s v="ORD0129"/>
    <x v="109"/>
    <x v="1"/>
    <x v="4"/>
    <s v="Product_47"/>
    <n v="6"/>
    <n v="4232"/>
    <n v="25392"/>
    <n v="5520"/>
    <x v="2"/>
  </r>
  <r>
    <s v="ORD0130"/>
    <x v="110"/>
    <x v="0"/>
    <x v="3"/>
    <s v="Product_33"/>
    <n v="6"/>
    <n v="3064"/>
    <n v="18384"/>
    <n v="2706"/>
    <x v="3"/>
  </r>
  <r>
    <s v="ORD0131"/>
    <x v="83"/>
    <x v="2"/>
    <x v="1"/>
    <s v="Product_49"/>
    <n v="3"/>
    <n v="738"/>
    <n v="2214"/>
    <n v="573"/>
    <x v="1"/>
  </r>
  <r>
    <s v="ORD0132"/>
    <x v="111"/>
    <x v="3"/>
    <x v="3"/>
    <s v="Product_18"/>
    <n v="8"/>
    <n v="2558"/>
    <n v="20464"/>
    <n v="3584"/>
    <x v="3"/>
  </r>
  <r>
    <s v="ORD0133"/>
    <x v="23"/>
    <x v="1"/>
    <x v="2"/>
    <s v="Product_41"/>
    <n v="4"/>
    <n v="1757"/>
    <n v="7028"/>
    <n v="2521"/>
    <x v="3"/>
  </r>
  <r>
    <s v="ORD0134"/>
    <x v="97"/>
    <x v="2"/>
    <x v="4"/>
    <s v="Product_11"/>
    <n v="8"/>
    <n v="790"/>
    <n v="6320"/>
    <n v="1616"/>
    <x v="1"/>
  </r>
  <r>
    <s v="ORD0135"/>
    <x v="112"/>
    <x v="0"/>
    <x v="3"/>
    <s v="Product_42"/>
    <n v="2"/>
    <n v="1733"/>
    <n v="3466"/>
    <n v="1055"/>
    <x v="3"/>
  </r>
  <r>
    <s v="ORD0136"/>
    <x v="113"/>
    <x v="1"/>
    <x v="1"/>
    <s v="Product_11"/>
    <n v="7"/>
    <n v="656"/>
    <n v="4592"/>
    <n v="1829"/>
    <x v="3"/>
  </r>
  <r>
    <s v="ORD0137"/>
    <x v="114"/>
    <x v="3"/>
    <x v="2"/>
    <s v="Product_50"/>
    <n v="8"/>
    <n v="2845"/>
    <n v="22760"/>
    <n v="3190"/>
    <x v="0"/>
  </r>
  <r>
    <s v="ORD0138"/>
    <x v="115"/>
    <x v="1"/>
    <x v="4"/>
    <s v="Product_11"/>
    <n v="6"/>
    <n v="4491"/>
    <n v="26946"/>
    <n v="9120"/>
    <x v="3"/>
  </r>
  <r>
    <s v="ORD0139"/>
    <x v="116"/>
    <x v="3"/>
    <x v="2"/>
    <s v="Product_20"/>
    <n v="2"/>
    <n v="1337"/>
    <n v="2674"/>
    <n v="610"/>
    <x v="1"/>
  </r>
  <r>
    <s v="ORD0140"/>
    <x v="117"/>
    <x v="3"/>
    <x v="0"/>
    <s v="Product_23"/>
    <n v="9"/>
    <n v="1901"/>
    <n v="17109"/>
    <n v="3010"/>
    <x v="0"/>
  </r>
  <r>
    <s v="ORD0141"/>
    <x v="118"/>
    <x v="3"/>
    <x v="4"/>
    <s v="Product_17"/>
    <n v="7"/>
    <n v="4559"/>
    <n v="31913"/>
    <n v="8729"/>
    <x v="0"/>
  </r>
  <r>
    <s v="ORD0142"/>
    <x v="78"/>
    <x v="1"/>
    <x v="1"/>
    <s v="Product_34"/>
    <n v="1"/>
    <n v="4845"/>
    <n v="4845"/>
    <n v="763"/>
    <x v="1"/>
  </r>
  <r>
    <s v="ORD0143"/>
    <x v="119"/>
    <x v="2"/>
    <x v="3"/>
    <s v="Product_12"/>
    <n v="2"/>
    <n v="561"/>
    <n v="1122"/>
    <n v="115"/>
    <x v="2"/>
  </r>
  <r>
    <s v="ORD0144"/>
    <x v="120"/>
    <x v="0"/>
    <x v="3"/>
    <s v="Product_19"/>
    <n v="4"/>
    <n v="2946"/>
    <n v="11784"/>
    <n v="4556"/>
    <x v="1"/>
  </r>
  <r>
    <s v="ORD0145"/>
    <x v="121"/>
    <x v="1"/>
    <x v="1"/>
    <s v="Product_27"/>
    <n v="3"/>
    <n v="1968"/>
    <n v="5904"/>
    <n v="1260"/>
    <x v="1"/>
  </r>
  <r>
    <s v="ORD0146"/>
    <x v="122"/>
    <x v="0"/>
    <x v="1"/>
    <s v="Product_36"/>
    <n v="5"/>
    <n v="3107"/>
    <n v="15535"/>
    <n v="4094"/>
    <x v="0"/>
  </r>
  <r>
    <s v="ORD0147"/>
    <x v="123"/>
    <x v="0"/>
    <x v="4"/>
    <s v="Product_6"/>
    <n v="10"/>
    <n v="2276"/>
    <n v="22760"/>
    <n v="2826"/>
    <x v="3"/>
  </r>
  <r>
    <s v="ORD0148"/>
    <x v="124"/>
    <x v="2"/>
    <x v="4"/>
    <s v="Product_15"/>
    <n v="10"/>
    <n v="2001"/>
    <n v="20010"/>
    <n v="2308"/>
    <x v="3"/>
  </r>
  <r>
    <s v="ORD0149"/>
    <x v="111"/>
    <x v="2"/>
    <x v="2"/>
    <s v="Product_43"/>
    <n v="4"/>
    <n v="4379"/>
    <n v="17516"/>
    <n v="3971"/>
    <x v="1"/>
  </r>
  <r>
    <s v="ORD0150"/>
    <x v="125"/>
    <x v="1"/>
    <x v="0"/>
    <s v="Product_34"/>
    <n v="4"/>
    <n v="3921"/>
    <n v="15684"/>
    <n v="2426"/>
    <x v="1"/>
  </r>
  <r>
    <s v="ORD0151"/>
    <x v="16"/>
    <x v="1"/>
    <x v="0"/>
    <s v="Product_45"/>
    <n v="3"/>
    <n v="4004"/>
    <n v="12012"/>
    <n v="4263"/>
    <x v="2"/>
  </r>
  <r>
    <s v="ORD0152"/>
    <x v="126"/>
    <x v="2"/>
    <x v="3"/>
    <s v="Product_45"/>
    <n v="2"/>
    <n v="2661"/>
    <n v="5322"/>
    <n v="1574"/>
    <x v="0"/>
  </r>
  <r>
    <s v="ORD0153"/>
    <x v="127"/>
    <x v="1"/>
    <x v="3"/>
    <s v="Product_9"/>
    <n v="2"/>
    <n v="1274"/>
    <n v="2548"/>
    <n v="430"/>
    <x v="1"/>
  </r>
  <r>
    <s v="ORD0154"/>
    <x v="128"/>
    <x v="3"/>
    <x v="4"/>
    <s v="Product_33"/>
    <n v="9"/>
    <n v="4530"/>
    <n v="40770"/>
    <n v="14906"/>
    <x v="1"/>
  </r>
  <r>
    <s v="ORD0155"/>
    <x v="129"/>
    <x v="0"/>
    <x v="2"/>
    <s v="Product_21"/>
    <n v="5"/>
    <n v="2274"/>
    <n v="11370"/>
    <n v="2985"/>
    <x v="0"/>
  </r>
  <r>
    <s v="ORD0156"/>
    <x v="130"/>
    <x v="2"/>
    <x v="0"/>
    <s v="Product_34"/>
    <n v="2"/>
    <n v="1928"/>
    <n v="3856"/>
    <n v="387"/>
    <x v="2"/>
  </r>
  <r>
    <s v="ORD0157"/>
    <x v="112"/>
    <x v="0"/>
    <x v="2"/>
    <s v="Product_33"/>
    <n v="6"/>
    <n v="1940"/>
    <n v="11640"/>
    <n v="1560"/>
    <x v="3"/>
  </r>
  <r>
    <s v="ORD0158"/>
    <x v="131"/>
    <x v="3"/>
    <x v="1"/>
    <s v="Product_6"/>
    <n v="4"/>
    <n v="3508"/>
    <n v="14032"/>
    <n v="2235"/>
    <x v="1"/>
  </r>
  <r>
    <s v="ORD0159"/>
    <x v="132"/>
    <x v="2"/>
    <x v="3"/>
    <s v="Product_25"/>
    <n v="1"/>
    <n v="2660"/>
    <n v="2660"/>
    <n v="543"/>
    <x v="1"/>
  </r>
  <r>
    <s v="ORD0160"/>
    <x v="127"/>
    <x v="2"/>
    <x v="1"/>
    <s v="Product_20"/>
    <n v="3"/>
    <n v="2200"/>
    <n v="6600"/>
    <n v="1242"/>
    <x v="0"/>
  </r>
  <r>
    <s v="ORD0161"/>
    <x v="65"/>
    <x v="3"/>
    <x v="3"/>
    <s v="Product_45"/>
    <n v="9"/>
    <n v="1144"/>
    <n v="10296"/>
    <n v="1391"/>
    <x v="0"/>
  </r>
  <r>
    <s v="ORD0162"/>
    <x v="133"/>
    <x v="0"/>
    <x v="0"/>
    <s v="Product_25"/>
    <n v="10"/>
    <n v="3017"/>
    <n v="30170"/>
    <n v="6474"/>
    <x v="1"/>
  </r>
  <r>
    <s v="ORD0163"/>
    <x v="21"/>
    <x v="3"/>
    <x v="1"/>
    <s v="Product_15"/>
    <n v="4"/>
    <n v="531"/>
    <n v="2124"/>
    <n v="545"/>
    <x v="2"/>
  </r>
  <r>
    <s v="ORD0164"/>
    <x v="134"/>
    <x v="1"/>
    <x v="3"/>
    <s v="Product_45"/>
    <n v="4"/>
    <n v="2369"/>
    <n v="9476"/>
    <n v="3712"/>
    <x v="3"/>
  </r>
  <r>
    <s v="ORD0165"/>
    <x v="135"/>
    <x v="2"/>
    <x v="4"/>
    <s v="Product_8"/>
    <n v="4"/>
    <n v="1183"/>
    <n v="4732"/>
    <n v="1166"/>
    <x v="3"/>
  </r>
  <r>
    <s v="ORD0166"/>
    <x v="82"/>
    <x v="0"/>
    <x v="2"/>
    <s v="Product_7"/>
    <n v="9"/>
    <n v="2948"/>
    <n v="26532"/>
    <n v="7754"/>
    <x v="0"/>
  </r>
  <r>
    <s v="ORD0167"/>
    <x v="136"/>
    <x v="0"/>
    <x v="0"/>
    <s v="Product_18"/>
    <n v="8"/>
    <n v="1268"/>
    <n v="10144"/>
    <n v="3897"/>
    <x v="3"/>
  </r>
  <r>
    <s v="ORD0168"/>
    <x v="62"/>
    <x v="1"/>
    <x v="0"/>
    <s v="Product_14"/>
    <n v="4"/>
    <n v="1996"/>
    <n v="7984"/>
    <n v="2697"/>
    <x v="3"/>
  </r>
  <r>
    <s v="ORD0169"/>
    <x v="137"/>
    <x v="0"/>
    <x v="1"/>
    <s v="Product_45"/>
    <n v="8"/>
    <n v="566"/>
    <n v="4528"/>
    <n v="1312"/>
    <x v="3"/>
  </r>
  <r>
    <s v="ORD0170"/>
    <x v="138"/>
    <x v="2"/>
    <x v="1"/>
    <s v="Product_8"/>
    <n v="8"/>
    <n v="1386"/>
    <n v="11088"/>
    <n v="3520"/>
    <x v="2"/>
  </r>
  <r>
    <s v="ORD0171"/>
    <x v="132"/>
    <x v="0"/>
    <x v="3"/>
    <s v="Product_48"/>
    <n v="4"/>
    <n v="1616"/>
    <n v="6464"/>
    <n v="2074"/>
    <x v="2"/>
  </r>
  <r>
    <s v="ORD0172"/>
    <x v="56"/>
    <x v="0"/>
    <x v="1"/>
    <s v="Product_6"/>
    <n v="2"/>
    <n v="2137"/>
    <n v="4274"/>
    <n v="649"/>
    <x v="1"/>
  </r>
  <r>
    <s v="ORD0173"/>
    <x v="139"/>
    <x v="2"/>
    <x v="0"/>
    <s v="Product_7"/>
    <n v="2"/>
    <n v="2532"/>
    <n v="5064"/>
    <n v="1888"/>
    <x v="2"/>
  </r>
  <r>
    <s v="ORD0174"/>
    <x v="140"/>
    <x v="3"/>
    <x v="4"/>
    <s v="Product_35"/>
    <n v="6"/>
    <n v="2856"/>
    <n v="17136"/>
    <n v="5656"/>
    <x v="1"/>
  </r>
  <r>
    <s v="ORD0175"/>
    <x v="141"/>
    <x v="3"/>
    <x v="2"/>
    <s v="Product_37"/>
    <n v="3"/>
    <n v="1590"/>
    <n v="4770"/>
    <n v="1141"/>
    <x v="1"/>
  </r>
  <r>
    <s v="ORD0176"/>
    <x v="142"/>
    <x v="2"/>
    <x v="0"/>
    <s v="Product_4"/>
    <n v="6"/>
    <n v="720"/>
    <n v="4320"/>
    <n v="746"/>
    <x v="0"/>
  </r>
  <r>
    <s v="ORD0177"/>
    <x v="143"/>
    <x v="1"/>
    <x v="2"/>
    <s v="Product_42"/>
    <n v="4"/>
    <n v="4089"/>
    <n v="16356"/>
    <n v="6140"/>
    <x v="1"/>
  </r>
  <r>
    <s v="ORD0178"/>
    <x v="144"/>
    <x v="2"/>
    <x v="1"/>
    <s v="Product_29"/>
    <n v="1"/>
    <n v="2840"/>
    <n v="2840"/>
    <n v="613"/>
    <x v="3"/>
  </r>
  <r>
    <s v="ORD0179"/>
    <x v="145"/>
    <x v="3"/>
    <x v="4"/>
    <s v="Product_24"/>
    <n v="3"/>
    <n v="4045"/>
    <n v="12135"/>
    <n v="2219"/>
    <x v="0"/>
  </r>
  <r>
    <s v="ORD0180"/>
    <x v="43"/>
    <x v="1"/>
    <x v="1"/>
    <s v="Product_2"/>
    <n v="9"/>
    <n v="2443"/>
    <n v="21987"/>
    <n v="8501"/>
    <x v="2"/>
  </r>
  <r>
    <s v="ORD0181"/>
    <x v="146"/>
    <x v="3"/>
    <x v="2"/>
    <s v="Product_47"/>
    <n v="7"/>
    <n v="901"/>
    <n v="6307"/>
    <n v="2455"/>
    <x v="2"/>
  </r>
  <r>
    <s v="ORD0182"/>
    <x v="120"/>
    <x v="2"/>
    <x v="2"/>
    <s v="Product_22"/>
    <n v="10"/>
    <n v="2981"/>
    <n v="29810"/>
    <n v="9796"/>
    <x v="3"/>
  </r>
  <r>
    <s v="ORD0183"/>
    <x v="147"/>
    <x v="3"/>
    <x v="2"/>
    <s v="Product_14"/>
    <n v="4"/>
    <n v="3782"/>
    <n v="15128"/>
    <n v="4695"/>
    <x v="1"/>
  </r>
  <r>
    <s v="ORD0184"/>
    <x v="75"/>
    <x v="0"/>
    <x v="0"/>
    <s v="Product_24"/>
    <n v="6"/>
    <n v="3512"/>
    <n v="21072"/>
    <n v="4488"/>
    <x v="1"/>
  </r>
  <r>
    <s v="ORD0185"/>
    <x v="148"/>
    <x v="3"/>
    <x v="3"/>
    <s v="Product_28"/>
    <n v="10"/>
    <n v="585"/>
    <n v="5850"/>
    <n v="2206"/>
    <x v="0"/>
  </r>
  <r>
    <s v="ORD0186"/>
    <x v="149"/>
    <x v="1"/>
    <x v="4"/>
    <s v="Product_1"/>
    <n v="2"/>
    <n v="875"/>
    <n v="1750"/>
    <n v="571"/>
    <x v="2"/>
  </r>
  <r>
    <s v="ORD0187"/>
    <x v="145"/>
    <x v="1"/>
    <x v="4"/>
    <s v="Product_44"/>
    <n v="3"/>
    <n v="4782"/>
    <n v="14346"/>
    <n v="5024"/>
    <x v="1"/>
  </r>
  <r>
    <s v="ORD0188"/>
    <x v="150"/>
    <x v="1"/>
    <x v="3"/>
    <s v="Product_39"/>
    <n v="4"/>
    <n v="3113"/>
    <n v="12452"/>
    <n v="3350"/>
    <x v="3"/>
  </r>
  <r>
    <s v="ORD0189"/>
    <x v="151"/>
    <x v="3"/>
    <x v="3"/>
    <s v="Product_46"/>
    <n v="7"/>
    <n v="2524"/>
    <n v="17668"/>
    <n v="4640"/>
    <x v="1"/>
  </r>
  <r>
    <s v="ORD0190"/>
    <x v="81"/>
    <x v="0"/>
    <x v="1"/>
    <s v="Product_46"/>
    <n v="1"/>
    <n v="3701"/>
    <n v="3701"/>
    <n v="1106"/>
    <x v="3"/>
  </r>
  <r>
    <s v="ORD0191"/>
    <x v="136"/>
    <x v="1"/>
    <x v="4"/>
    <s v="Product_24"/>
    <n v="3"/>
    <n v="4286"/>
    <n v="12858"/>
    <n v="3172"/>
    <x v="3"/>
  </r>
  <r>
    <s v="ORD0192"/>
    <x v="152"/>
    <x v="3"/>
    <x v="0"/>
    <s v="Product_36"/>
    <n v="8"/>
    <n v="1503"/>
    <n v="12024"/>
    <n v="2766"/>
    <x v="3"/>
  </r>
  <r>
    <s v="ORD0193"/>
    <x v="90"/>
    <x v="0"/>
    <x v="3"/>
    <s v="Product_35"/>
    <n v="10"/>
    <n v="2438"/>
    <n v="24380"/>
    <n v="7398"/>
    <x v="1"/>
  </r>
  <r>
    <s v="ORD0194"/>
    <x v="153"/>
    <x v="1"/>
    <x v="0"/>
    <s v="Product_41"/>
    <n v="6"/>
    <n v="1046"/>
    <n v="6276"/>
    <n v="985"/>
    <x v="1"/>
  </r>
  <r>
    <s v="ORD0195"/>
    <x v="88"/>
    <x v="2"/>
    <x v="4"/>
    <s v="Product_14"/>
    <n v="7"/>
    <n v="2177"/>
    <n v="15239"/>
    <n v="5651"/>
    <x v="2"/>
  </r>
  <r>
    <s v="ORD0196"/>
    <x v="154"/>
    <x v="2"/>
    <x v="3"/>
    <s v="Product_2"/>
    <n v="4"/>
    <n v="1680"/>
    <n v="6720"/>
    <n v="1448"/>
    <x v="2"/>
  </r>
  <r>
    <s v="ORD0197"/>
    <x v="107"/>
    <x v="1"/>
    <x v="0"/>
    <s v="Product_20"/>
    <n v="1"/>
    <n v="702"/>
    <n v="702"/>
    <n v="170"/>
    <x v="2"/>
  </r>
  <r>
    <s v="ORD0198"/>
    <x v="155"/>
    <x v="1"/>
    <x v="2"/>
    <s v="Product_14"/>
    <n v="2"/>
    <n v="2828"/>
    <n v="5656"/>
    <n v="1675"/>
    <x v="0"/>
  </r>
  <r>
    <s v="ORD0199"/>
    <x v="89"/>
    <x v="0"/>
    <x v="0"/>
    <s v="Product_14"/>
    <n v="9"/>
    <n v="2464"/>
    <n v="22176"/>
    <n v="3310"/>
    <x v="2"/>
  </r>
  <r>
    <s v="ORD0200"/>
    <x v="28"/>
    <x v="3"/>
    <x v="4"/>
    <s v="Product_48"/>
    <n v="2"/>
    <n v="4555"/>
    <n v="9110"/>
    <n v="2379"/>
    <x v="1"/>
  </r>
  <r>
    <s v="ORD0201"/>
    <x v="96"/>
    <x v="2"/>
    <x v="3"/>
    <s v="Product_50"/>
    <n v="1"/>
    <n v="2432"/>
    <n v="2432"/>
    <n v="281"/>
    <x v="2"/>
  </r>
  <r>
    <s v="ORD0202"/>
    <x v="156"/>
    <x v="3"/>
    <x v="2"/>
    <s v="Product_22"/>
    <n v="5"/>
    <n v="3032"/>
    <n v="15160"/>
    <n v="4750"/>
    <x v="3"/>
  </r>
  <r>
    <s v="ORD0203"/>
    <x v="157"/>
    <x v="3"/>
    <x v="2"/>
    <s v="Product_48"/>
    <n v="6"/>
    <n v="2281"/>
    <n v="13686"/>
    <n v="1382"/>
    <x v="1"/>
  </r>
  <r>
    <s v="ORD0204"/>
    <x v="158"/>
    <x v="2"/>
    <x v="3"/>
    <s v="Product_8"/>
    <n v="2"/>
    <n v="3016"/>
    <n v="6032"/>
    <n v="2222"/>
    <x v="0"/>
  </r>
  <r>
    <s v="ORD0205"/>
    <x v="159"/>
    <x v="0"/>
    <x v="2"/>
    <s v="Product_50"/>
    <n v="9"/>
    <n v="3835"/>
    <n v="34515"/>
    <n v="5478"/>
    <x v="1"/>
  </r>
  <r>
    <s v="ORD0206"/>
    <x v="160"/>
    <x v="1"/>
    <x v="1"/>
    <s v="Product_23"/>
    <n v="9"/>
    <n v="2340"/>
    <n v="21060"/>
    <n v="3507"/>
    <x v="0"/>
  </r>
  <r>
    <s v="ORD0207"/>
    <x v="161"/>
    <x v="1"/>
    <x v="0"/>
    <s v="Product_30"/>
    <n v="7"/>
    <n v="2991"/>
    <n v="20937"/>
    <n v="7507"/>
    <x v="0"/>
  </r>
  <r>
    <s v="ORD0208"/>
    <x v="162"/>
    <x v="1"/>
    <x v="3"/>
    <s v="Product_19"/>
    <n v="8"/>
    <n v="1777"/>
    <n v="14216"/>
    <n v="3587"/>
    <x v="0"/>
  </r>
  <r>
    <s v="ORD0209"/>
    <x v="163"/>
    <x v="2"/>
    <x v="2"/>
    <s v="Product_50"/>
    <n v="3"/>
    <n v="3021"/>
    <n v="9063"/>
    <n v="2800"/>
    <x v="1"/>
  </r>
  <r>
    <s v="ORD0210"/>
    <x v="159"/>
    <x v="2"/>
    <x v="0"/>
    <s v="Product_17"/>
    <n v="4"/>
    <n v="3389"/>
    <n v="13556"/>
    <n v="1455"/>
    <x v="3"/>
  </r>
  <r>
    <s v="ORD0211"/>
    <x v="164"/>
    <x v="1"/>
    <x v="1"/>
    <s v="Product_2"/>
    <n v="8"/>
    <n v="2554"/>
    <n v="20432"/>
    <n v="7107"/>
    <x v="0"/>
  </r>
  <r>
    <s v="ORD0212"/>
    <x v="85"/>
    <x v="1"/>
    <x v="0"/>
    <s v="Product_36"/>
    <n v="9"/>
    <n v="3635"/>
    <n v="32715"/>
    <n v="12365"/>
    <x v="3"/>
  </r>
  <r>
    <s v="ORD0213"/>
    <x v="165"/>
    <x v="0"/>
    <x v="2"/>
    <s v="Product_8"/>
    <n v="6"/>
    <n v="1620"/>
    <n v="9720"/>
    <n v="3697"/>
    <x v="2"/>
  </r>
  <r>
    <s v="ORD0214"/>
    <x v="74"/>
    <x v="0"/>
    <x v="4"/>
    <s v="Product_5"/>
    <n v="9"/>
    <n v="3488"/>
    <n v="31392"/>
    <n v="8850"/>
    <x v="3"/>
  </r>
  <r>
    <s v="ORD0215"/>
    <x v="34"/>
    <x v="3"/>
    <x v="1"/>
    <s v="Product_26"/>
    <n v="2"/>
    <n v="754"/>
    <n v="1508"/>
    <n v="183"/>
    <x v="0"/>
  </r>
  <r>
    <s v="ORD0216"/>
    <x v="166"/>
    <x v="1"/>
    <x v="3"/>
    <s v="Product_8"/>
    <n v="8"/>
    <n v="549"/>
    <n v="4392"/>
    <n v="574"/>
    <x v="2"/>
  </r>
  <r>
    <s v="ORD0217"/>
    <x v="167"/>
    <x v="0"/>
    <x v="1"/>
    <s v="Product_3"/>
    <n v="7"/>
    <n v="3284"/>
    <n v="22988"/>
    <n v="6781"/>
    <x v="2"/>
  </r>
  <r>
    <s v="ORD0218"/>
    <x v="168"/>
    <x v="0"/>
    <x v="3"/>
    <s v="Product_48"/>
    <n v="6"/>
    <n v="3274"/>
    <n v="19644"/>
    <n v="3438"/>
    <x v="3"/>
  </r>
  <r>
    <s v="ORD0219"/>
    <x v="169"/>
    <x v="2"/>
    <x v="1"/>
    <s v="Product_39"/>
    <n v="4"/>
    <n v="3769"/>
    <n v="15076"/>
    <n v="5822"/>
    <x v="1"/>
  </r>
  <r>
    <s v="ORD0220"/>
    <x v="147"/>
    <x v="0"/>
    <x v="1"/>
    <s v="Product_32"/>
    <n v="1"/>
    <n v="1578"/>
    <n v="1578"/>
    <n v="603"/>
    <x v="0"/>
  </r>
  <r>
    <s v="ORD0221"/>
    <x v="26"/>
    <x v="3"/>
    <x v="1"/>
    <s v="Product_49"/>
    <n v="7"/>
    <n v="2652"/>
    <n v="18564"/>
    <n v="6826"/>
    <x v="0"/>
  </r>
  <r>
    <s v="ORD0222"/>
    <x v="170"/>
    <x v="3"/>
    <x v="4"/>
    <s v="Product_22"/>
    <n v="2"/>
    <n v="2533"/>
    <n v="5066"/>
    <n v="1703"/>
    <x v="3"/>
  </r>
  <r>
    <s v="ORD0223"/>
    <x v="171"/>
    <x v="0"/>
    <x v="0"/>
    <s v="Product_11"/>
    <n v="2"/>
    <n v="4942"/>
    <n v="9884"/>
    <n v="1515"/>
    <x v="0"/>
  </r>
  <r>
    <s v="ORD0224"/>
    <x v="66"/>
    <x v="2"/>
    <x v="3"/>
    <s v="Product_19"/>
    <n v="8"/>
    <n v="1627"/>
    <n v="13016"/>
    <n v="4128"/>
    <x v="3"/>
  </r>
  <r>
    <s v="ORD0225"/>
    <x v="172"/>
    <x v="2"/>
    <x v="2"/>
    <s v="Product_17"/>
    <n v="5"/>
    <n v="2535"/>
    <n v="12675"/>
    <n v="1704"/>
    <x v="2"/>
  </r>
  <r>
    <s v="ORD0226"/>
    <x v="173"/>
    <x v="3"/>
    <x v="2"/>
    <s v="Product_47"/>
    <n v="2"/>
    <n v="1917"/>
    <n v="3834"/>
    <n v="787"/>
    <x v="1"/>
  </r>
  <r>
    <s v="ORD0227"/>
    <x v="51"/>
    <x v="1"/>
    <x v="2"/>
    <s v="Product_18"/>
    <n v="8"/>
    <n v="731"/>
    <n v="5848"/>
    <n v="1630"/>
    <x v="0"/>
  </r>
  <r>
    <s v="ORD0228"/>
    <x v="174"/>
    <x v="0"/>
    <x v="0"/>
    <s v="Product_19"/>
    <n v="8"/>
    <n v="2122"/>
    <n v="16976"/>
    <n v="6656"/>
    <x v="2"/>
  </r>
  <r>
    <s v="ORD0229"/>
    <x v="112"/>
    <x v="0"/>
    <x v="0"/>
    <s v="Product_6"/>
    <n v="5"/>
    <n v="2272"/>
    <n v="11360"/>
    <n v="1789"/>
    <x v="3"/>
  </r>
  <r>
    <s v="ORD0230"/>
    <x v="175"/>
    <x v="3"/>
    <x v="3"/>
    <s v="Product_42"/>
    <n v="4"/>
    <n v="746"/>
    <n v="2984"/>
    <n v="1084"/>
    <x v="1"/>
  </r>
  <r>
    <s v="ORD0231"/>
    <x v="176"/>
    <x v="1"/>
    <x v="1"/>
    <s v="Product_13"/>
    <n v="10"/>
    <n v="3327"/>
    <n v="33270"/>
    <n v="11862"/>
    <x v="2"/>
  </r>
  <r>
    <s v="ORD0232"/>
    <x v="79"/>
    <x v="3"/>
    <x v="2"/>
    <s v="Product_40"/>
    <n v="5"/>
    <n v="1507"/>
    <n v="7535"/>
    <n v="1015"/>
    <x v="0"/>
  </r>
  <r>
    <s v="ORD0233"/>
    <x v="177"/>
    <x v="1"/>
    <x v="3"/>
    <s v="Product_13"/>
    <n v="1"/>
    <n v="2492"/>
    <n v="2492"/>
    <n v="515"/>
    <x v="2"/>
  </r>
  <r>
    <s v="ORD0234"/>
    <x v="178"/>
    <x v="3"/>
    <x v="1"/>
    <s v="Product_37"/>
    <n v="1"/>
    <n v="3039"/>
    <n v="3039"/>
    <n v="1023"/>
    <x v="0"/>
  </r>
  <r>
    <s v="ORD0235"/>
    <x v="60"/>
    <x v="0"/>
    <x v="0"/>
    <s v="Product_48"/>
    <n v="2"/>
    <n v="3066"/>
    <n v="6132"/>
    <n v="1288"/>
    <x v="1"/>
  </r>
  <r>
    <s v="ORD0236"/>
    <x v="179"/>
    <x v="2"/>
    <x v="0"/>
    <s v="Product_23"/>
    <n v="4"/>
    <n v="616"/>
    <n v="2464"/>
    <n v="490"/>
    <x v="2"/>
  </r>
  <r>
    <s v="ORD0237"/>
    <x v="180"/>
    <x v="0"/>
    <x v="1"/>
    <s v="Product_26"/>
    <n v="3"/>
    <n v="559"/>
    <n v="1677"/>
    <n v="497"/>
    <x v="3"/>
  </r>
  <r>
    <s v="ORD0238"/>
    <x v="88"/>
    <x v="3"/>
    <x v="4"/>
    <s v="Product_13"/>
    <n v="2"/>
    <n v="963"/>
    <n v="1926"/>
    <n v="301"/>
    <x v="0"/>
  </r>
  <r>
    <s v="ORD0239"/>
    <x v="133"/>
    <x v="0"/>
    <x v="4"/>
    <s v="Product_25"/>
    <n v="9"/>
    <n v="3583"/>
    <n v="32247"/>
    <n v="9352"/>
    <x v="0"/>
  </r>
  <r>
    <s v="ORD0240"/>
    <x v="181"/>
    <x v="1"/>
    <x v="2"/>
    <s v="Product_35"/>
    <n v="6"/>
    <n v="3623"/>
    <n v="21738"/>
    <n v="8240"/>
    <x v="0"/>
  </r>
  <r>
    <s v="ORD0241"/>
    <x v="110"/>
    <x v="1"/>
    <x v="4"/>
    <s v="Product_19"/>
    <n v="9"/>
    <n v="1334"/>
    <n v="12006"/>
    <n v="3458"/>
    <x v="0"/>
  </r>
  <r>
    <s v="ORD0242"/>
    <x v="182"/>
    <x v="0"/>
    <x v="3"/>
    <s v="Product_44"/>
    <n v="4"/>
    <n v="3268"/>
    <n v="13072"/>
    <n v="4885"/>
    <x v="3"/>
  </r>
  <r>
    <s v="ORD0243"/>
    <x v="70"/>
    <x v="0"/>
    <x v="0"/>
    <s v="Product_3"/>
    <n v="1"/>
    <n v="1230"/>
    <n v="1230"/>
    <n v="290"/>
    <x v="3"/>
  </r>
  <r>
    <s v="ORD0244"/>
    <x v="183"/>
    <x v="3"/>
    <x v="0"/>
    <s v="Product_18"/>
    <n v="9"/>
    <n v="4784"/>
    <n v="43056"/>
    <n v="4938"/>
    <x v="0"/>
  </r>
  <r>
    <s v="ORD0245"/>
    <x v="38"/>
    <x v="3"/>
    <x v="2"/>
    <s v="Product_13"/>
    <n v="6"/>
    <n v="1109"/>
    <n v="6654"/>
    <n v="2558"/>
    <x v="3"/>
  </r>
  <r>
    <s v="ORD0246"/>
    <x v="184"/>
    <x v="2"/>
    <x v="4"/>
    <s v="Product_43"/>
    <n v="4"/>
    <n v="3495"/>
    <n v="13980"/>
    <n v="4290"/>
    <x v="1"/>
  </r>
  <r>
    <s v="ORD0247"/>
    <x v="185"/>
    <x v="2"/>
    <x v="1"/>
    <s v="Product_2"/>
    <n v="5"/>
    <n v="1766"/>
    <n v="8830"/>
    <n v="1039"/>
    <x v="2"/>
  </r>
  <r>
    <s v="ORD0248"/>
    <x v="186"/>
    <x v="0"/>
    <x v="3"/>
    <s v="Product_6"/>
    <n v="5"/>
    <n v="1042"/>
    <n v="5210"/>
    <n v="1126"/>
    <x v="2"/>
  </r>
  <r>
    <s v="ORD0249"/>
    <x v="187"/>
    <x v="3"/>
    <x v="0"/>
    <s v="Product_47"/>
    <n v="9"/>
    <n v="2684"/>
    <n v="24156"/>
    <n v="9542"/>
    <x v="3"/>
  </r>
  <r>
    <s v="ORD0250"/>
    <x v="188"/>
    <x v="1"/>
    <x v="2"/>
    <s v="Product_17"/>
    <n v="10"/>
    <n v="4609"/>
    <n v="46090"/>
    <n v="17957"/>
    <x v="3"/>
  </r>
  <r>
    <s v="ORD0251"/>
    <x v="189"/>
    <x v="2"/>
    <x v="0"/>
    <s v="Product_2"/>
    <n v="2"/>
    <n v="2260"/>
    <n v="4520"/>
    <n v="805"/>
    <x v="3"/>
  </r>
  <r>
    <s v="ORD0252"/>
    <x v="28"/>
    <x v="3"/>
    <x v="1"/>
    <s v="Product_12"/>
    <n v="10"/>
    <n v="2710"/>
    <n v="27100"/>
    <n v="4680"/>
    <x v="2"/>
  </r>
  <r>
    <s v="ORD0253"/>
    <x v="174"/>
    <x v="3"/>
    <x v="4"/>
    <s v="Product_17"/>
    <n v="6"/>
    <n v="4107"/>
    <n v="24642"/>
    <n v="3297"/>
    <x v="3"/>
  </r>
  <r>
    <s v="ORD0254"/>
    <x v="190"/>
    <x v="3"/>
    <x v="0"/>
    <s v="Product_47"/>
    <n v="10"/>
    <n v="1400"/>
    <n v="14000"/>
    <n v="3407"/>
    <x v="0"/>
  </r>
  <r>
    <s v="ORD0255"/>
    <x v="97"/>
    <x v="0"/>
    <x v="1"/>
    <s v="Product_36"/>
    <n v="6"/>
    <n v="4193"/>
    <n v="25158"/>
    <n v="4530"/>
    <x v="2"/>
  </r>
  <r>
    <s v="ORD0256"/>
    <x v="191"/>
    <x v="0"/>
    <x v="4"/>
    <s v="Product_49"/>
    <n v="4"/>
    <n v="4342"/>
    <n v="17368"/>
    <n v="3668"/>
    <x v="1"/>
  </r>
  <r>
    <s v="ORD0257"/>
    <x v="192"/>
    <x v="1"/>
    <x v="2"/>
    <s v="Product_38"/>
    <n v="9"/>
    <n v="2941"/>
    <n v="26469"/>
    <n v="6552"/>
    <x v="0"/>
  </r>
  <r>
    <s v="ORD0258"/>
    <x v="193"/>
    <x v="1"/>
    <x v="1"/>
    <s v="Product_8"/>
    <n v="2"/>
    <n v="2766"/>
    <n v="5532"/>
    <n v="2082"/>
    <x v="1"/>
  </r>
  <r>
    <s v="ORD0259"/>
    <x v="100"/>
    <x v="2"/>
    <x v="2"/>
    <s v="Product_29"/>
    <n v="7"/>
    <n v="4805"/>
    <n v="33635"/>
    <n v="6035"/>
    <x v="3"/>
  </r>
  <r>
    <s v="ORD0260"/>
    <x v="194"/>
    <x v="1"/>
    <x v="0"/>
    <s v="Product_41"/>
    <n v="1"/>
    <n v="2465"/>
    <n v="2465"/>
    <n v="847"/>
    <x v="1"/>
  </r>
  <r>
    <s v="ORD0261"/>
    <x v="182"/>
    <x v="2"/>
    <x v="1"/>
    <s v="Product_2"/>
    <n v="6"/>
    <n v="3823"/>
    <n v="22938"/>
    <n v="2569"/>
    <x v="0"/>
  </r>
  <r>
    <s v="ORD0262"/>
    <x v="195"/>
    <x v="2"/>
    <x v="3"/>
    <s v="Product_19"/>
    <n v="3"/>
    <n v="849"/>
    <n v="2547"/>
    <n v="622"/>
    <x v="2"/>
  </r>
  <r>
    <s v="ORD0263"/>
    <x v="133"/>
    <x v="3"/>
    <x v="2"/>
    <s v="Product_49"/>
    <n v="4"/>
    <n v="3590"/>
    <n v="14360"/>
    <n v="4470"/>
    <x v="0"/>
  </r>
  <r>
    <s v="ORD0264"/>
    <x v="196"/>
    <x v="3"/>
    <x v="1"/>
    <s v="Product_15"/>
    <n v="2"/>
    <n v="4884"/>
    <n v="9768"/>
    <n v="2060"/>
    <x v="1"/>
  </r>
  <r>
    <s v="ORD0265"/>
    <x v="197"/>
    <x v="3"/>
    <x v="2"/>
    <s v="Product_45"/>
    <n v="1"/>
    <n v="1617"/>
    <n v="1617"/>
    <n v="357"/>
    <x v="2"/>
  </r>
  <r>
    <s v="ORD0266"/>
    <x v="198"/>
    <x v="2"/>
    <x v="1"/>
    <s v="Product_22"/>
    <n v="9"/>
    <n v="2176"/>
    <n v="19584"/>
    <n v="6105"/>
    <x v="1"/>
  </r>
  <r>
    <s v="ORD0267"/>
    <x v="199"/>
    <x v="0"/>
    <x v="0"/>
    <s v="Product_15"/>
    <n v="2"/>
    <n v="643"/>
    <n v="1286"/>
    <n v="510"/>
    <x v="0"/>
  </r>
  <r>
    <s v="ORD0268"/>
    <x v="200"/>
    <x v="0"/>
    <x v="2"/>
    <s v="Product_11"/>
    <n v="8"/>
    <n v="4146"/>
    <n v="33168"/>
    <n v="4463"/>
    <x v="1"/>
  </r>
  <r>
    <s v="ORD0269"/>
    <x v="201"/>
    <x v="2"/>
    <x v="0"/>
    <s v="Product_17"/>
    <n v="6"/>
    <n v="4799"/>
    <n v="28794"/>
    <n v="11433"/>
    <x v="0"/>
  </r>
  <r>
    <s v="ORD0270"/>
    <x v="202"/>
    <x v="1"/>
    <x v="2"/>
    <s v="Product_48"/>
    <n v="1"/>
    <n v="671"/>
    <n v="671"/>
    <n v="265"/>
    <x v="3"/>
  </r>
  <r>
    <s v="ORD0271"/>
    <x v="13"/>
    <x v="2"/>
    <x v="3"/>
    <s v="Product_43"/>
    <n v="8"/>
    <n v="4447"/>
    <n v="35576"/>
    <n v="6503"/>
    <x v="3"/>
  </r>
  <r>
    <s v="ORD0272"/>
    <x v="10"/>
    <x v="0"/>
    <x v="0"/>
    <s v="Product_50"/>
    <n v="10"/>
    <n v="2302"/>
    <n v="23020"/>
    <n v="5143"/>
    <x v="3"/>
  </r>
  <r>
    <s v="ORD0273"/>
    <x v="43"/>
    <x v="3"/>
    <x v="0"/>
    <s v="Product_11"/>
    <n v="9"/>
    <n v="1722"/>
    <n v="15498"/>
    <n v="1964"/>
    <x v="1"/>
  </r>
  <r>
    <s v="ORD0274"/>
    <x v="14"/>
    <x v="1"/>
    <x v="4"/>
    <s v="Product_43"/>
    <n v="5"/>
    <n v="4060"/>
    <n v="20300"/>
    <n v="5082"/>
    <x v="2"/>
  </r>
  <r>
    <s v="ORD0275"/>
    <x v="203"/>
    <x v="2"/>
    <x v="0"/>
    <s v="Product_17"/>
    <n v="5"/>
    <n v="4527"/>
    <n v="22635"/>
    <n v="8667"/>
    <x v="0"/>
  </r>
  <r>
    <s v="ORD0276"/>
    <x v="204"/>
    <x v="1"/>
    <x v="0"/>
    <s v="Product_5"/>
    <n v="2"/>
    <n v="3216"/>
    <n v="6432"/>
    <n v="961"/>
    <x v="1"/>
  </r>
  <r>
    <s v="ORD0277"/>
    <x v="83"/>
    <x v="1"/>
    <x v="0"/>
    <s v="Product_6"/>
    <n v="8"/>
    <n v="2074"/>
    <n v="16592"/>
    <n v="4923"/>
    <x v="1"/>
  </r>
  <r>
    <s v="ORD0278"/>
    <x v="179"/>
    <x v="0"/>
    <x v="3"/>
    <s v="Product_6"/>
    <n v="3"/>
    <n v="2051"/>
    <n v="6153"/>
    <n v="2241"/>
    <x v="2"/>
  </r>
  <r>
    <s v="ORD0279"/>
    <x v="134"/>
    <x v="1"/>
    <x v="4"/>
    <s v="Product_1"/>
    <n v="2"/>
    <n v="1693"/>
    <n v="3386"/>
    <n v="1209"/>
    <x v="1"/>
  </r>
  <r>
    <s v="ORD0280"/>
    <x v="8"/>
    <x v="2"/>
    <x v="2"/>
    <s v="Product_46"/>
    <n v="5"/>
    <n v="4867"/>
    <n v="24335"/>
    <n v="8031"/>
    <x v="1"/>
  </r>
  <r>
    <s v="ORD0281"/>
    <x v="86"/>
    <x v="2"/>
    <x v="2"/>
    <s v="Product_4"/>
    <n v="6"/>
    <n v="4794"/>
    <n v="28764"/>
    <n v="5842"/>
    <x v="2"/>
  </r>
  <r>
    <s v="ORD0282"/>
    <x v="205"/>
    <x v="0"/>
    <x v="1"/>
    <s v="Product_13"/>
    <n v="2"/>
    <n v="4898"/>
    <n v="9796"/>
    <n v="2999"/>
    <x v="3"/>
  </r>
  <r>
    <s v="ORD0283"/>
    <x v="113"/>
    <x v="3"/>
    <x v="1"/>
    <s v="Product_19"/>
    <n v="9"/>
    <n v="4011"/>
    <n v="36099"/>
    <n v="4549"/>
    <x v="2"/>
  </r>
  <r>
    <s v="ORD0284"/>
    <x v="163"/>
    <x v="1"/>
    <x v="3"/>
    <s v="Product_46"/>
    <n v="7"/>
    <n v="3773"/>
    <n v="26411"/>
    <n v="4522"/>
    <x v="0"/>
  </r>
  <r>
    <s v="ORD0285"/>
    <x v="203"/>
    <x v="0"/>
    <x v="3"/>
    <s v="Product_40"/>
    <n v="1"/>
    <n v="2662"/>
    <n v="2662"/>
    <n v="331"/>
    <x v="0"/>
  </r>
  <r>
    <s v="ORD0286"/>
    <x v="140"/>
    <x v="0"/>
    <x v="2"/>
    <s v="Product_29"/>
    <n v="4"/>
    <n v="3441"/>
    <n v="13764"/>
    <n v="4560"/>
    <x v="0"/>
  </r>
  <r>
    <s v="ORD0287"/>
    <x v="206"/>
    <x v="1"/>
    <x v="4"/>
    <s v="Product_26"/>
    <n v="9"/>
    <n v="2817"/>
    <n v="25353"/>
    <n v="4599"/>
    <x v="2"/>
  </r>
  <r>
    <s v="ORD0288"/>
    <x v="122"/>
    <x v="2"/>
    <x v="1"/>
    <s v="Product_34"/>
    <n v="3"/>
    <n v="4648"/>
    <n v="13944"/>
    <n v="1629"/>
    <x v="0"/>
  </r>
  <r>
    <s v="ORD0289"/>
    <x v="13"/>
    <x v="0"/>
    <x v="4"/>
    <s v="Product_42"/>
    <n v="3"/>
    <n v="2662"/>
    <n v="7986"/>
    <n v="907"/>
    <x v="2"/>
  </r>
  <r>
    <s v="ORD0290"/>
    <x v="207"/>
    <x v="2"/>
    <x v="4"/>
    <s v="Product_36"/>
    <n v="8"/>
    <n v="3459"/>
    <n v="27672"/>
    <n v="6217"/>
    <x v="3"/>
  </r>
  <r>
    <s v="ORD0291"/>
    <x v="35"/>
    <x v="1"/>
    <x v="1"/>
    <s v="Product_39"/>
    <n v="5"/>
    <n v="2817"/>
    <n v="14085"/>
    <n v="1905"/>
    <x v="3"/>
  </r>
  <r>
    <s v="ORD0292"/>
    <x v="208"/>
    <x v="0"/>
    <x v="3"/>
    <s v="Product_14"/>
    <n v="5"/>
    <n v="3581"/>
    <n v="17905"/>
    <n v="6762"/>
    <x v="3"/>
  </r>
  <r>
    <s v="ORD0293"/>
    <x v="135"/>
    <x v="3"/>
    <x v="1"/>
    <s v="Product_46"/>
    <n v="5"/>
    <n v="2713"/>
    <n v="13565"/>
    <n v="4568"/>
    <x v="0"/>
  </r>
  <r>
    <s v="ORD0294"/>
    <x v="209"/>
    <x v="2"/>
    <x v="4"/>
    <s v="Product_10"/>
    <n v="5"/>
    <n v="2198"/>
    <n v="10990"/>
    <n v="3487"/>
    <x v="2"/>
  </r>
  <r>
    <s v="ORD0295"/>
    <x v="210"/>
    <x v="0"/>
    <x v="4"/>
    <s v="Product_15"/>
    <n v="8"/>
    <n v="960"/>
    <n v="7680"/>
    <n v="1790"/>
    <x v="1"/>
  </r>
  <r>
    <s v="ORD0296"/>
    <x v="211"/>
    <x v="1"/>
    <x v="1"/>
    <s v="Product_9"/>
    <n v="4"/>
    <n v="2672"/>
    <n v="10688"/>
    <n v="2520"/>
    <x v="1"/>
  </r>
  <r>
    <s v="ORD0297"/>
    <x v="45"/>
    <x v="0"/>
    <x v="2"/>
    <s v="Product_18"/>
    <n v="5"/>
    <n v="3115"/>
    <n v="15575"/>
    <n v="6001"/>
    <x v="1"/>
  </r>
  <r>
    <s v="ORD0298"/>
    <x v="50"/>
    <x v="2"/>
    <x v="1"/>
    <s v="Product_8"/>
    <n v="6"/>
    <n v="1747"/>
    <n v="10482"/>
    <n v="2866"/>
    <x v="3"/>
  </r>
  <r>
    <s v="ORD0299"/>
    <x v="176"/>
    <x v="1"/>
    <x v="0"/>
    <s v="Product_18"/>
    <n v="4"/>
    <n v="3729"/>
    <n v="14916"/>
    <n v="1835"/>
    <x v="1"/>
  </r>
  <r>
    <s v="ORD0300"/>
    <x v="176"/>
    <x v="3"/>
    <x v="3"/>
    <s v="Product_50"/>
    <n v="5"/>
    <n v="4243"/>
    <n v="21215"/>
    <n v="7033"/>
    <x v="1"/>
  </r>
  <r>
    <s v="ORD0301"/>
    <x v="212"/>
    <x v="0"/>
    <x v="2"/>
    <s v="Product_35"/>
    <n v="2"/>
    <n v="3028"/>
    <n v="6056"/>
    <n v="1687"/>
    <x v="0"/>
  </r>
  <r>
    <s v="ORD0302"/>
    <x v="109"/>
    <x v="1"/>
    <x v="4"/>
    <s v="Product_8"/>
    <n v="5"/>
    <n v="4515"/>
    <n v="22575"/>
    <n v="4230"/>
    <x v="0"/>
  </r>
  <r>
    <s v="ORD0303"/>
    <x v="45"/>
    <x v="3"/>
    <x v="4"/>
    <s v="Product_41"/>
    <n v="8"/>
    <n v="1896"/>
    <n v="15168"/>
    <n v="6029"/>
    <x v="1"/>
  </r>
  <r>
    <s v="ORD0304"/>
    <x v="15"/>
    <x v="1"/>
    <x v="4"/>
    <s v="Product_13"/>
    <n v="9"/>
    <n v="1318"/>
    <n v="11862"/>
    <n v="3932"/>
    <x v="1"/>
  </r>
  <r>
    <s v="ORD0305"/>
    <x v="213"/>
    <x v="1"/>
    <x v="3"/>
    <s v="Product_41"/>
    <n v="5"/>
    <n v="2309"/>
    <n v="11545"/>
    <n v="1780"/>
    <x v="2"/>
  </r>
  <r>
    <s v="ORD0306"/>
    <x v="214"/>
    <x v="1"/>
    <x v="3"/>
    <s v="Product_15"/>
    <n v="3"/>
    <n v="4311"/>
    <n v="12933"/>
    <n v="1725"/>
    <x v="3"/>
  </r>
  <r>
    <s v="ORD0307"/>
    <x v="158"/>
    <x v="2"/>
    <x v="3"/>
    <s v="Product_41"/>
    <n v="3"/>
    <n v="4711"/>
    <n v="14133"/>
    <n v="5007"/>
    <x v="2"/>
  </r>
  <r>
    <s v="ORD0308"/>
    <x v="215"/>
    <x v="0"/>
    <x v="3"/>
    <s v="Product_34"/>
    <n v="10"/>
    <n v="680"/>
    <n v="6800"/>
    <n v="2238"/>
    <x v="0"/>
  </r>
  <r>
    <s v="ORD0309"/>
    <x v="55"/>
    <x v="3"/>
    <x v="4"/>
    <s v="Product_49"/>
    <n v="8"/>
    <n v="530"/>
    <n v="4240"/>
    <n v="1440"/>
    <x v="3"/>
  </r>
  <r>
    <s v="ORD0310"/>
    <x v="101"/>
    <x v="3"/>
    <x v="0"/>
    <s v="Product_7"/>
    <n v="10"/>
    <n v="2179"/>
    <n v="21790"/>
    <n v="2244"/>
    <x v="3"/>
  </r>
  <r>
    <s v="ORD0311"/>
    <x v="141"/>
    <x v="2"/>
    <x v="2"/>
    <s v="Product_13"/>
    <n v="8"/>
    <n v="1110"/>
    <n v="8880"/>
    <n v="1057"/>
    <x v="2"/>
  </r>
  <r>
    <s v="ORD0312"/>
    <x v="216"/>
    <x v="3"/>
    <x v="0"/>
    <s v="Product_45"/>
    <n v="8"/>
    <n v="3277"/>
    <n v="26216"/>
    <n v="2659"/>
    <x v="2"/>
  </r>
  <r>
    <s v="ORD0313"/>
    <x v="217"/>
    <x v="3"/>
    <x v="2"/>
    <s v="Product_35"/>
    <n v="9"/>
    <n v="4336"/>
    <n v="39024"/>
    <n v="12372"/>
    <x v="2"/>
  </r>
  <r>
    <s v="ORD0314"/>
    <x v="145"/>
    <x v="2"/>
    <x v="0"/>
    <s v="Product_9"/>
    <n v="7"/>
    <n v="3612"/>
    <n v="25284"/>
    <n v="2672"/>
    <x v="1"/>
  </r>
  <r>
    <s v="ORD0315"/>
    <x v="164"/>
    <x v="0"/>
    <x v="2"/>
    <s v="Product_36"/>
    <n v="3"/>
    <n v="2868"/>
    <n v="8604"/>
    <n v="3007"/>
    <x v="2"/>
  </r>
  <r>
    <s v="ORD0316"/>
    <x v="127"/>
    <x v="3"/>
    <x v="2"/>
    <s v="Product_47"/>
    <n v="4"/>
    <n v="4222"/>
    <n v="16888"/>
    <n v="2212"/>
    <x v="2"/>
  </r>
  <r>
    <s v="ORD0317"/>
    <x v="92"/>
    <x v="3"/>
    <x v="3"/>
    <s v="Product_26"/>
    <n v="1"/>
    <n v="4675"/>
    <n v="4675"/>
    <n v="664"/>
    <x v="0"/>
  </r>
  <r>
    <s v="ORD0318"/>
    <x v="218"/>
    <x v="2"/>
    <x v="0"/>
    <s v="Product_10"/>
    <n v="9"/>
    <n v="2713"/>
    <n v="24417"/>
    <n v="5537"/>
    <x v="2"/>
  </r>
  <r>
    <s v="ORD0319"/>
    <x v="191"/>
    <x v="0"/>
    <x v="4"/>
    <s v="Product_9"/>
    <n v="9"/>
    <n v="1200"/>
    <n v="10800"/>
    <n v="1712"/>
    <x v="1"/>
  </r>
  <r>
    <s v="ORD0320"/>
    <x v="219"/>
    <x v="3"/>
    <x v="3"/>
    <s v="Product_31"/>
    <n v="3"/>
    <n v="2295"/>
    <n v="6885"/>
    <n v="1151"/>
    <x v="1"/>
  </r>
  <r>
    <s v="ORD0321"/>
    <x v="220"/>
    <x v="1"/>
    <x v="1"/>
    <s v="Product_30"/>
    <n v="6"/>
    <n v="1917"/>
    <n v="11502"/>
    <n v="3770"/>
    <x v="1"/>
  </r>
  <r>
    <s v="ORD0322"/>
    <x v="62"/>
    <x v="1"/>
    <x v="4"/>
    <s v="Product_33"/>
    <n v="7"/>
    <n v="2898"/>
    <n v="20286"/>
    <n v="6986"/>
    <x v="2"/>
  </r>
  <r>
    <s v="ORD0323"/>
    <x v="119"/>
    <x v="2"/>
    <x v="2"/>
    <s v="Product_21"/>
    <n v="9"/>
    <n v="4530"/>
    <n v="40770"/>
    <n v="15766"/>
    <x v="1"/>
  </r>
  <r>
    <s v="ORD0324"/>
    <x v="201"/>
    <x v="0"/>
    <x v="0"/>
    <s v="Product_33"/>
    <n v="3"/>
    <n v="3564"/>
    <n v="10692"/>
    <n v="2147"/>
    <x v="0"/>
  </r>
  <r>
    <s v="ORD0325"/>
    <x v="199"/>
    <x v="3"/>
    <x v="1"/>
    <s v="Product_36"/>
    <n v="4"/>
    <n v="3858"/>
    <n v="15432"/>
    <n v="2816"/>
    <x v="2"/>
  </r>
  <r>
    <s v="ORD0326"/>
    <x v="150"/>
    <x v="2"/>
    <x v="4"/>
    <s v="Product_37"/>
    <n v="5"/>
    <n v="2691"/>
    <n v="13455"/>
    <n v="4274"/>
    <x v="2"/>
  </r>
  <r>
    <s v="ORD0327"/>
    <x v="69"/>
    <x v="0"/>
    <x v="0"/>
    <s v="Product_7"/>
    <n v="10"/>
    <n v="2643"/>
    <n v="26430"/>
    <n v="6378"/>
    <x v="3"/>
  </r>
  <r>
    <s v="ORD0328"/>
    <x v="179"/>
    <x v="3"/>
    <x v="1"/>
    <s v="Product_4"/>
    <n v="9"/>
    <n v="3977"/>
    <n v="35793"/>
    <n v="6245"/>
    <x v="1"/>
  </r>
  <r>
    <s v="ORD0329"/>
    <x v="221"/>
    <x v="0"/>
    <x v="1"/>
    <s v="Product_9"/>
    <n v="2"/>
    <n v="2139"/>
    <n v="4278"/>
    <n v="1631"/>
    <x v="2"/>
  </r>
  <r>
    <s v="ORD0330"/>
    <x v="219"/>
    <x v="0"/>
    <x v="2"/>
    <s v="Product_17"/>
    <n v="9"/>
    <n v="4543"/>
    <n v="40887"/>
    <n v="9154"/>
    <x v="1"/>
  </r>
  <r>
    <s v="ORD0331"/>
    <x v="222"/>
    <x v="0"/>
    <x v="4"/>
    <s v="Product_42"/>
    <n v="7"/>
    <n v="1225"/>
    <n v="8575"/>
    <n v="3033"/>
    <x v="0"/>
  </r>
  <r>
    <s v="ORD0332"/>
    <x v="223"/>
    <x v="3"/>
    <x v="2"/>
    <s v="Product_13"/>
    <n v="6"/>
    <n v="4447"/>
    <n v="26682"/>
    <n v="2910"/>
    <x v="1"/>
  </r>
  <r>
    <s v="ORD0333"/>
    <x v="83"/>
    <x v="2"/>
    <x v="1"/>
    <s v="Product_41"/>
    <n v="7"/>
    <n v="3254"/>
    <n v="22778"/>
    <n v="2284"/>
    <x v="2"/>
  </r>
  <r>
    <s v="ORD0334"/>
    <x v="171"/>
    <x v="3"/>
    <x v="0"/>
    <s v="Product_17"/>
    <n v="3"/>
    <n v="2298"/>
    <n v="6894"/>
    <n v="1045"/>
    <x v="0"/>
  </r>
  <r>
    <s v="ORD0335"/>
    <x v="183"/>
    <x v="0"/>
    <x v="2"/>
    <s v="Product_36"/>
    <n v="8"/>
    <n v="4079"/>
    <n v="32632"/>
    <n v="11411"/>
    <x v="2"/>
  </r>
  <r>
    <s v="ORD0336"/>
    <x v="224"/>
    <x v="0"/>
    <x v="3"/>
    <s v="Product_32"/>
    <n v="6"/>
    <n v="3924"/>
    <n v="23544"/>
    <n v="4102"/>
    <x v="3"/>
  </r>
  <r>
    <s v="ORD0337"/>
    <x v="146"/>
    <x v="2"/>
    <x v="1"/>
    <s v="Product_48"/>
    <n v="3"/>
    <n v="3759"/>
    <n v="11277"/>
    <n v="3605"/>
    <x v="0"/>
  </r>
  <r>
    <s v="ORD0338"/>
    <x v="79"/>
    <x v="3"/>
    <x v="2"/>
    <s v="Product_23"/>
    <n v="2"/>
    <n v="3897"/>
    <n v="7794"/>
    <n v="2690"/>
    <x v="3"/>
  </r>
  <r>
    <s v="ORD0339"/>
    <x v="184"/>
    <x v="2"/>
    <x v="0"/>
    <s v="Product_47"/>
    <n v="8"/>
    <n v="1706"/>
    <n v="13648"/>
    <n v="2136"/>
    <x v="1"/>
  </r>
  <r>
    <s v="ORD0340"/>
    <x v="221"/>
    <x v="3"/>
    <x v="0"/>
    <s v="Product_18"/>
    <n v="1"/>
    <n v="777"/>
    <n v="777"/>
    <n v="290"/>
    <x v="2"/>
  </r>
  <r>
    <s v="ORD0341"/>
    <x v="135"/>
    <x v="1"/>
    <x v="4"/>
    <s v="Product_16"/>
    <n v="3"/>
    <n v="1346"/>
    <n v="4038"/>
    <n v="612"/>
    <x v="3"/>
  </r>
  <r>
    <s v="ORD0342"/>
    <x v="201"/>
    <x v="3"/>
    <x v="0"/>
    <s v="Product_4"/>
    <n v="7"/>
    <n v="2869"/>
    <n v="20083"/>
    <n v="7810"/>
    <x v="2"/>
  </r>
  <r>
    <s v="ORD0343"/>
    <x v="195"/>
    <x v="3"/>
    <x v="3"/>
    <s v="Product_1"/>
    <n v="4"/>
    <n v="3765"/>
    <n v="15060"/>
    <n v="2595"/>
    <x v="0"/>
  </r>
  <r>
    <s v="ORD0344"/>
    <x v="225"/>
    <x v="2"/>
    <x v="4"/>
    <s v="Product_49"/>
    <n v="9"/>
    <n v="521"/>
    <n v="4689"/>
    <n v="1768"/>
    <x v="0"/>
  </r>
  <r>
    <s v="ORD0345"/>
    <x v="226"/>
    <x v="2"/>
    <x v="3"/>
    <s v="Product_3"/>
    <n v="6"/>
    <n v="3202"/>
    <n v="19212"/>
    <n v="3919"/>
    <x v="0"/>
  </r>
  <r>
    <s v="ORD0346"/>
    <x v="200"/>
    <x v="1"/>
    <x v="2"/>
    <s v="Product_36"/>
    <n v="1"/>
    <n v="3192"/>
    <n v="3192"/>
    <n v="1026"/>
    <x v="3"/>
  </r>
  <r>
    <s v="ORD0347"/>
    <x v="227"/>
    <x v="1"/>
    <x v="2"/>
    <s v="Product_10"/>
    <n v="5"/>
    <n v="4899"/>
    <n v="24495"/>
    <n v="5898"/>
    <x v="3"/>
  </r>
  <r>
    <s v="ORD0348"/>
    <x v="228"/>
    <x v="2"/>
    <x v="4"/>
    <s v="Product_36"/>
    <n v="9"/>
    <n v="1871"/>
    <n v="16839"/>
    <n v="3813"/>
    <x v="0"/>
  </r>
  <r>
    <s v="ORD0349"/>
    <x v="27"/>
    <x v="0"/>
    <x v="4"/>
    <s v="Product_41"/>
    <n v="7"/>
    <n v="683"/>
    <n v="4781"/>
    <n v="1021"/>
    <x v="3"/>
  </r>
  <r>
    <s v="ORD0350"/>
    <x v="1"/>
    <x v="3"/>
    <x v="3"/>
    <s v="Product_21"/>
    <n v="4"/>
    <n v="4374"/>
    <n v="17496"/>
    <n v="5949"/>
    <x v="0"/>
  </r>
  <r>
    <s v="ORD0351"/>
    <x v="229"/>
    <x v="1"/>
    <x v="2"/>
    <s v="Product_49"/>
    <n v="3"/>
    <n v="2968"/>
    <n v="8904"/>
    <n v="1261"/>
    <x v="0"/>
  </r>
  <r>
    <s v="ORD0352"/>
    <x v="230"/>
    <x v="1"/>
    <x v="1"/>
    <s v="Product_29"/>
    <n v="9"/>
    <n v="3162"/>
    <n v="28458"/>
    <n v="6650"/>
    <x v="0"/>
  </r>
  <r>
    <s v="ORD0353"/>
    <x v="231"/>
    <x v="3"/>
    <x v="0"/>
    <s v="Product_6"/>
    <n v="1"/>
    <n v="3424"/>
    <n v="3424"/>
    <n v="343"/>
    <x v="2"/>
  </r>
  <r>
    <s v="ORD0354"/>
    <x v="232"/>
    <x v="3"/>
    <x v="0"/>
    <s v="Product_38"/>
    <n v="9"/>
    <n v="3415"/>
    <n v="30735"/>
    <n v="11970"/>
    <x v="2"/>
  </r>
  <r>
    <s v="ORD0355"/>
    <x v="33"/>
    <x v="0"/>
    <x v="2"/>
    <s v="Product_10"/>
    <n v="9"/>
    <n v="3975"/>
    <n v="35775"/>
    <n v="9086"/>
    <x v="3"/>
  </r>
  <r>
    <s v="ORD0356"/>
    <x v="231"/>
    <x v="0"/>
    <x v="3"/>
    <s v="Product_8"/>
    <n v="1"/>
    <n v="3435"/>
    <n v="3435"/>
    <n v="751"/>
    <x v="2"/>
  </r>
  <r>
    <s v="ORD0357"/>
    <x v="43"/>
    <x v="2"/>
    <x v="2"/>
    <s v="Product_13"/>
    <n v="10"/>
    <n v="1805"/>
    <n v="18050"/>
    <n v="2869"/>
    <x v="2"/>
  </r>
  <r>
    <s v="ORD0358"/>
    <x v="27"/>
    <x v="3"/>
    <x v="4"/>
    <s v="Product_36"/>
    <n v="8"/>
    <n v="2009"/>
    <n v="16072"/>
    <n v="2671"/>
    <x v="3"/>
  </r>
  <r>
    <s v="ORD0359"/>
    <x v="211"/>
    <x v="3"/>
    <x v="0"/>
    <s v="Product_8"/>
    <n v="2"/>
    <n v="4671"/>
    <n v="9342"/>
    <n v="2016"/>
    <x v="1"/>
  </r>
  <r>
    <s v="ORD0360"/>
    <x v="233"/>
    <x v="2"/>
    <x v="0"/>
    <s v="Product_22"/>
    <n v="6"/>
    <n v="558"/>
    <n v="3348"/>
    <n v="456"/>
    <x v="3"/>
  </r>
  <r>
    <s v="ORD0361"/>
    <x v="229"/>
    <x v="0"/>
    <x v="3"/>
    <s v="Product_25"/>
    <n v="6"/>
    <n v="2072"/>
    <n v="12432"/>
    <n v="2786"/>
    <x v="2"/>
  </r>
  <r>
    <s v="ORD0362"/>
    <x v="234"/>
    <x v="1"/>
    <x v="4"/>
    <s v="Product_49"/>
    <n v="9"/>
    <n v="3916"/>
    <n v="35244"/>
    <n v="11775"/>
    <x v="3"/>
  </r>
  <r>
    <s v="ORD0363"/>
    <x v="177"/>
    <x v="2"/>
    <x v="2"/>
    <s v="Product_43"/>
    <n v="9"/>
    <n v="1347"/>
    <n v="12123"/>
    <n v="2245"/>
    <x v="3"/>
  </r>
  <r>
    <s v="ORD0364"/>
    <x v="42"/>
    <x v="3"/>
    <x v="1"/>
    <s v="Product_34"/>
    <n v="5"/>
    <n v="4376"/>
    <n v="21880"/>
    <n v="5148"/>
    <x v="2"/>
  </r>
  <r>
    <s v="ORD0365"/>
    <x v="79"/>
    <x v="2"/>
    <x v="1"/>
    <s v="Product_49"/>
    <n v="8"/>
    <n v="4334"/>
    <n v="34672"/>
    <n v="10258"/>
    <x v="0"/>
  </r>
  <r>
    <s v="ORD0366"/>
    <x v="235"/>
    <x v="1"/>
    <x v="1"/>
    <s v="Product_39"/>
    <n v="10"/>
    <n v="1844"/>
    <n v="18440"/>
    <n v="6765"/>
    <x v="1"/>
  </r>
  <r>
    <s v="ORD0367"/>
    <x v="71"/>
    <x v="1"/>
    <x v="3"/>
    <s v="Product_9"/>
    <n v="5"/>
    <n v="3748"/>
    <n v="18740"/>
    <n v="3436"/>
    <x v="0"/>
  </r>
  <r>
    <s v="ORD0368"/>
    <x v="116"/>
    <x v="2"/>
    <x v="3"/>
    <s v="Product_34"/>
    <n v="4"/>
    <n v="4118"/>
    <n v="16472"/>
    <n v="2440"/>
    <x v="0"/>
  </r>
  <r>
    <s v="ORD0369"/>
    <x v="29"/>
    <x v="1"/>
    <x v="3"/>
    <s v="Product_40"/>
    <n v="2"/>
    <n v="1187"/>
    <n v="2374"/>
    <n v="352"/>
    <x v="2"/>
  </r>
  <r>
    <s v="ORD0370"/>
    <x v="98"/>
    <x v="1"/>
    <x v="2"/>
    <s v="Product_11"/>
    <n v="3"/>
    <n v="2240"/>
    <n v="6720"/>
    <n v="2126"/>
    <x v="2"/>
  </r>
  <r>
    <s v="ORD0371"/>
    <x v="236"/>
    <x v="0"/>
    <x v="3"/>
    <s v="Product_42"/>
    <n v="9"/>
    <n v="1185"/>
    <n v="10665"/>
    <n v="3406"/>
    <x v="0"/>
  </r>
  <r>
    <s v="ORD0372"/>
    <x v="52"/>
    <x v="3"/>
    <x v="2"/>
    <s v="Product_40"/>
    <n v="2"/>
    <n v="3806"/>
    <n v="7612"/>
    <n v="959"/>
    <x v="1"/>
  </r>
  <r>
    <s v="ORD0373"/>
    <x v="237"/>
    <x v="3"/>
    <x v="4"/>
    <s v="Product_46"/>
    <n v="1"/>
    <n v="4916"/>
    <n v="4916"/>
    <n v="1541"/>
    <x v="1"/>
  </r>
  <r>
    <s v="ORD0374"/>
    <x v="5"/>
    <x v="3"/>
    <x v="2"/>
    <s v="Product_44"/>
    <n v="9"/>
    <n v="2955"/>
    <n v="26595"/>
    <n v="5077"/>
    <x v="1"/>
  </r>
  <r>
    <s v="ORD0375"/>
    <x v="177"/>
    <x v="1"/>
    <x v="3"/>
    <s v="Product_28"/>
    <n v="2"/>
    <n v="1451"/>
    <n v="2902"/>
    <n v="463"/>
    <x v="2"/>
  </r>
  <r>
    <s v="ORD0376"/>
    <x v="238"/>
    <x v="1"/>
    <x v="0"/>
    <s v="Product_23"/>
    <n v="10"/>
    <n v="4091"/>
    <n v="40910"/>
    <n v="14410"/>
    <x v="3"/>
  </r>
  <r>
    <s v="ORD0377"/>
    <x v="239"/>
    <x v="2"/>
    <x v="4"/>
    <s v="Product_29"/>
    <n v="5"/>
    <n v="1176"/>
    <n v="5880"/>
    <n v="1768"/>
    <x v="1"/>
  </r>
  <r>
    <s v="ORD0378"/>
    <x v="49"/>
    <x v="1"/>
    <x v="3"/>
    <s v="Product_12"/>
    <n v="2"/>
    <n v="4872"/>
    <n v="9744"/>
    <n v="1409"/>
    <x v="0"/>
  </r>
  <r>
    <s v="ORD0379"/>
    <x v="151"/>
    <x v="2"/>
    <x v="4"/>
    <s v="Product_16"/>
    <n v="3"/>
    <n v="3243"/>
    <n v="9729"/>
    <n v="2774"/>
    <x v="2"/>
  </r>
  <r>
    <s v="ORD0380"/>
    <x v="240"/>
    <x v="1"/>
    <x v="1"/>
    <s v="Product_33"/>
    <n v="7"/>
    <n v="3682"/>
    <n v="25774"/>
    <n v="3031"/>
    <x v="2"/>
  </r>
  <r>
    <s v="ORD0381"/>
    <x v="87"/>
    <x v="3"/>
    <x v="1"/>
    <s v="Product_22"/>
    <n v="6"/>
    <n v="1114"/>
    <n v="6684"/>
    <n v="1701"/>
    <x v="0"/>
  </r>
  <r>
    <s v="ORD0382"/>
    <x v="241"/>
    <x v="1"/>
    <x v="3"/>
    <s v="Product_37"/>
    <n v="10"/>
    <n v="2090"/>
    <n v="20900"/>
    <n v="2146"/>
    <x v="2"/>
  </r>
  <r>
    <s v="ORD0383"/>
    <x v="114"/>
    <x v="2"/>
    <x v="2"/>
    <s v="Product_49"/>
    <n v="1"/>
    <n v="2609"/>
    <n v="2609"/>
    <n v="646"/>
    <x v="0"/>
  </r>
  <r>
    <s v="ORD0384"/>
    <x v="152"/>
    <x v="1"/>
    <x v="2"/>
    <s v="Product_45"/>
    <n v="4"/>
    <n v="3767"/>
    <n v="15068"/>
    <n v="5459"/>
    <x v="0"/>
  </r>
  <r>
    <s v="ORD0385"/>
    <x v="242"/>
    <x v="0"/>
    <x v="4"/>
    <s v="Product_46"/>
    <n v="4"/>
    <n v="1186"/>
    <n v="4744"/>
    <n v="1071"/>
    <x v="2"/>
  </r>
  <r>
    <s v="ORD0386"/>
    <x v="86"/>
    <x v="1"/>
    <x v="1"/>
    <s v="Product_48"/>
    <n v="9"/>
    <n v="3354"/>
    <n v="30186"/>
    <n v="5006"/>
    <x v="0"/>
  </r>
  <r>
    <s v="ORD0387"/>
    <x v="55"/>
    <x v="2"/>
    <x v="1"/>
    <s v="Product_38"/>
    <n v="8"/>
    <n v="2562"/>
    <n v="20496"/>
    <n v="2747"/>
    <x v="0"/>
  </r>
  <r>
    <s v="ORD0388"/>
    <x v="220"/>
    <x v="0"/>
    <x v="3"/>
    <s v="Product_22"/>
    <n v="10"/>
    <n v="1455"/>
    <n v="14550"/>
    <n v="2094"/>
    <x v="1"/>
  </r>
  <r>
    <s v="ORD0389"/>
    <x v="54"/>
    <x v="3"/>
    <x v="4"/>
    <s v="Product_39"/>
    <n v="3"/>
    <n v="1526"/>
    <n v="4578"/>
    <n v="1374"/>
    <x v="2"/>
  </r>
  <r>
    <s v="ORD0390"/>
    <x v="243"/>
    <x v="3"/>
    <x v="2"/>
    <s v="Product_7"/>
    <n v="7"/>
    <n v="3645"/>
    <n v="25515"/>
    <n v="8420"/>
    <x v="3"/>
  </r>
  <r>
    <s v="ORD0391"/>
    <x v="244"/>
    <x v="1"/>
    <x v="3"/>
    <s v="Product_21"/>
    <n v="3"/>
    <n v="4612"/>
    <n v="13836"/>
    <n v="3813"/>
    <x v="2"/>
  </r>
  <r>
    <s v="ORD0392"/>
    <x v="79"/>
    <x v="1"/>
    <x v="2"/>
    <s v="Product_46"/>
    <n v="8"/>
    <n v="3106"/>
    <n v="24848"/>
    <n v="4870"/>
    <x v="3"/>
  </r>
  <r>
    <s v="ORD0393"/>
    <x v="153"/>
    <x v="0"/>
    <x v="0"/>
    <s v="Product_49"/>
    <n v="10"/>
    <n v="3460"/>
    <n v="34600"/>
    <n v="3873"/>
    <x v="3"/>
  </r>
  <r>
    <s v="ORD0394"/>
    <x v="245"/>
    <x v="3"/>
    <x v="1"/>
    <s v="Product_41"/>
    <n v="3"/>
    <n v="3433"/>
    <n v="10299"/>
    <n v="1840"/>
    <x v="1"/>
  </r>
  <r>
    <s v="ORD0395"/>
    <x v="27"/>
    <x v="0"/>
    <x v="1"/>
    <s v="Product_2"/>
    <n v="4"/>
    <n v="1253"/>
    <n v="5012"/>
    <n v="707"/>
    <x v="1"/>
  </r>
  <r>
    <s v="ORD0396"/>
    <x v="143"/>
    <x v="3"/>
    <x v="1"/>
    <s v="Product_46"/>
    <n v="7"/>
    <n v="854"/>
    <n v="5978"/>
    <n v="2261"/>
    <x v="1"/>
  </r>
  <r>
    <s v="ORD0397"/>
    <x v="246"/>
    <x v="1"/>
    <x v="2"/>
    <s v="Product_50"/>
    <n v="4"/>
    <n v="2788"/>
    <n v="11152"/>
    <n v="3810"/>
    <x v="3"/>
  </r>
  <r>
    <s v="ORD0398"/>
    <x v="136"/>
    <x v="3"/>
    <x v="4"/>
    <s v="Product_11"/>
    <n v="2"/>
    <n v="4429"/>
    <n v="8858"/>
    <n v="1655"/>
    <x v="3"/>
  </r>
  <r>
    <s v="ORD0399"/>
    <x v="198"/>
    <x v="1"/>
    <x v="4"/>
    <s v="Product_14"/>
    <n v="7"/>
    <n v="1479"/>
    <n v="10353"/>
    <n v="3995"/>
    <x v="2"/>
  </r>
  <r>
    <s v="ORD0400"/>
    <x v="247"/>
    <x v="3"/>
    <x v="4"/>
    <s v="Product_29"/>
    <n v="10"/>
    <n v="1126"/>
    <n v="11260"/>
    <n v="4348"/>
    <x v="2"/>
  </r>
  <r>
    <s v="ORD0401"/>
    <x v="248"/>
    <x v="1"/>
    <x v="4"/>
    <s v="Product_9"/>
    <n v="8"/>
    <n v="790"/>
    <n v="6320"/>
    <n v="1771"/>
    <x v="2"/>
  </r>
  <r>
    <s v="ORD0402"/>
    <x v="170"/>
    <x v="3"/>
    <x v="4"/>
    <s v="Product_6"/>
    <n v="7"/>
    <n v="3595"/>
    <n v="25165"/>
    <n v="5432"/>
    <x v="0"/>
  </r>
  <r>
    <s v="ORD0403"/>
    <x v="80"/>
    <x v="1"/>
    <x v="0"/>
    <s v="Product_49"/>
    <n v="1"/>
    <n v="3456"/>
    <n v="3456"/>
    <n v="877"/>
    <x v="1"/>
  </r>
  <r>
    <s v="ORD0404"/>
    <x v="249"/>
    <x v="0"/>
    <x v="3"/>
    <s v="Product_31"/>
    <n v="9"/>
    <n v="4368"/>
    <n v="39312"/>
    <n v="8203"/>
    <x v="2"/>
  </r>
  <r>
    <s v="ORD0405"/>
    <x v="190"/>
    <x v="3"/>
    <x v="3"/>
    <s v="Product_2"/>
    <n v="2"/>
    <n v="2999"/>
    <n v="5998"/>
    <n v="1571"/>
    <x v="1"/>
  </r>
  <r>
    <s v="ORD0406"/>
    <x v="250"/>
    <x v="3"/>
    <x v="3"/>
    <s v="Product_35"/>
    <n v="3"/>
    <n v="2687"/>
    <n v="8061"/>
    <n v="1056"/>
    <x v="0"/>
  </r>
  <r>
    <s v="ORD0407"/>
    <x v="57"/>
    <x v="3"/>
    <x v="0"/>
    <s v="Product_16"/>
    <n v="6"/>
    <n v="2157"/>
    <n v="12942"/>
    <n v="1609"/>
    <x v="1"/>
  </r>
  <r>
    <s v="ORD0408"/>
    <x v="158"/>
    <x v="3"/>
    <x v="3"/>
    <s v="Product_14"/>
    <n v="3"/>
    <n v="2519"/>
    <n v="7557"/>
    <n v="1630"/>
    <x v="0"/>
  </r>
  <r>
    <s v="ORD0409"/>
    <x v="223"/>
    <x v="1"/>
    <x v="1"/>
    <s v="Product_39"/>
    <n v="9"/>
    <n v="2423"/>
    <n v="21807"/>
    <n v="2868"/>
    <x v="3"/>
  </r>
  <r>
    <s v="ORD0410"/>
    <x v="251"/>
    <x v="3"/>
    <x v="0"/>
    <s v="Product_45"/>
    <n v="3"/>
    <n v="3578"/>
    <n v="10734"/>
    <n v="1795"/>
    <x v="3"/>
  </r>
  <r>
    <s v="ORD0411"/>
    <x v="252"/>
    <x v="3"/>
    <x v="0"/>
    <s v="Product_13"/>
    <n v="1"/>
    <n v="1104"/>
    <n v="1104"/>
    <n v="161"/>
    <x v="3"/>
  </r>
  <r>
    <s v="ORD0412"/>
    <x v="41"/>
    <x v="0"/>
    <x v="2"/>
    <s v="Product_3"/>
    <n v="4"/>
    <n v="4269"/>
    <n v="17076"/>
    <n v="6046"/>
    <x v="3"/>
  </r>
  <r>
    <s v="ORD0413"/>
    <x v="221"/>
    <x v="3"/>
    <x v="2"/>
    <s v="Product_50"/>
    <n v="8"/>
    <n v="1649"/>
    <n v="13192"/>
    <n v="4257"/>
    <x v="3"/>
  </r>
  <r>
    <s v="ORD0414"/>
    <x v="253"/>
    <x v="0"/>
    <x v="4"/>
    <s v="Product_45"/>
    <n v="5"/>
    <n v="1830"/>
    <n v="9150"/>
    <n v="3363"/>
    <x v="1"/>
  </r>
  <r>
    <s v="ORD0415"/>
    <x v="216"/>
    <x v="1"/>
    <x v="2"/>
    <s v="Product_29"/>
    <n v="7"/>
    <n v="3741"/>
    <n v="26187"/>
    <n v="6067"/>
    <x v="3"/>
  </r>
  <r>
    <s v="ORD0416"/>
    <x v="254"/>
    <x v="1"/>
    <x v="4"/>
    <s v="Product_5"/>
    <n v="5"/>
    <n v="1547"/>
    <n v="7735"/>
    <n v="1815"/>
    <x v="3"/>
  </r>
  <r>
    <s v="ORD0417"/>
    <x v="124"/>
    <x v="3"/>
    <x v="1"/>
    <s v="Product_23"/>
    <n v="6"/>
    <n v="2146"/>
    <n v="12876"/>
    <n v="4817"/>
    <x v="2"/>
  </r>
  <r>
    <s v="ORD0418"/>
    <x v="27"/>
    <x v="1"/>
    <x v="4"/>
    <s v="Product_6"/>
    <n v="1"/>
    <n v="4997"/>
    <n v="4997"/>
    <n v="1125"/>
    <x v="3"/>
  </r>
  <r>
    <s v="ORD0419"/>
    <x v="114"/>
    <x v="2"/>
    <x v="2"/>
    <s v="Product_19"/>
    <n v="7"/>
    <n v="2363"/>
    <n v="16541"/>
    <n v="3231"/>
    <x v="3"/>
  </r>
  <r>
    <s v="ORD0420"/>
    <x v="111"/>
    <x v="2"/>
    <x v="4"/>
    <s v="Product_18"/>
    <n v="6"/>
    <n v="4948"/>
    <n v="29688"/>
    <n v="10088"/>
    <x v="1"/>
  </r>
  <r>
    <s v="ORD0421"/>
    <x v="209"/>
    <x v="3"/>
    <x v="2"/>
    <s v="Product_23"/>
    <n v="2"/>
    <n v="4627"/>
    <n v="9254"/>
    <n v="1255"/>
    <x v="1"/>
  </r>
  <r>
    <s v="ORD0422"/>
    <x v="255"/>
    <x v="1"/>
    <x v="4"/>
    <s v="Product_41"/>
    <n v="3"/>
    <n v="1037"/>
    <n v="3111"/>
    <n v="649"/>
    <x v="0"/>
  </r>
  <r>
    <s v="ORD0423"/>
    <x v="256"/>
    <x v="3"/>
    <x v="0"/>
    <s v="Product_46"/>
    <n v="4"/>
    <n v="4637"/>
    <n v="18548"/>
    <n v="4569"/>
    <x v="3"/>
  </r>
  <r>
    <s v="ORD0424"/>
    <x v="257"/>
    <x v="1"/>
    <x v="3"/>
    <s v="Product_49"/>
    <n v="3"/>
    <n v="2177"/>
    <n v="6531"/>
    <n v="1774"/>
    <x v="2"/>
  </r>
  <r>
    <s v="ORD0425"/>
    <x v="23"/>
    <x v="1"/>
    <x v="3"/>
    <s v="Product_1"/>
    <n v="6"/>
    <n v="4134"/>
    <n v="24804"/>
    <n v="8950"/>
    <x v="0"/>
  </r>
  <r>
    <s v="ORD0426"/>
    <x v="69"/>
    <x v="2"/>
    <x v="2"/>
    <s v="Product_42"/>
    <n v="6"/>
    <n v="766"/>
    <n v="4596"/>
    <n v="650"/>
    <x v="1"/>
  </r>
  <r>
    <s v="ORD0427"/>
    <x v="95"/>
    <x v="1"/>
    <x v="1"/>
    <s v="Product_47"/>
    <n v="3"/>
    <n v="2777"/>
    <n v="8331"/>
    <n v="1809"/>
    <x v="2"/>
  </r>
  <r>
    <s v="ORD0428"/>
    <x v="81"/>
    <x v="0"/>
    <x v="1"/>
    <s v="Product_12"/>
    <n v="4"/>
    <n v="2042"/>
    <n v="8168"/>
    <n v="1314"/>
    <x v="3"/>
  </r>
  <r>
    <s v="ORD0429"/>
    <x v="258"/>
    <x v="3"/>
    <x v="4"/>
    <s v="Product_4"/>
    <n v="4"/>
    <n v="4195"/>
    <n v="16780"/>
    <n v="1922"/>
    <x v="3"/>
  </r>
  <r>
    <s v="ORD0430"/>
    <x v="259"/>
    <x v="1"/>
    <x v="0"/>
    <s v="Product_29"/>
    <n v="2"/>
    <n v="3327"/>
    <n v="6654"/>
    <n v="668"/>
    <x v="0"/>
  </r>
  <r>
    <s v="ORD0431"/>
    <x v="260"/>
    <x v="2"/>
    <x v="1"/>
    <s v="Product_41"/>
    <n v="3"/>
    <n v="1624"/>
    <n v="4872"/>
    <n v="1356"/>
    <x v="0"/>
  </r>
  <r>
    <s v="ORD0432"/>
    <x v="261"/>
    <x v="3"/>
    <x v="3"/>
    <s v="Product_10"/>
    <n v="7"/>
    <n v="4992"/>
    <n v="34944"/>
    <n v="12585"/>
    <x v="3"/>
  </r>
  <r>
    <s v="ORD0433"/>
    <x v="90"/>
    <x v="1"/>
    <x v="4"/>
    <s v="Product_12"/>
    <n v="3"/>
    <n v="3561"/>
    <n v="10683"/>
    <n v="2913"/>
    <x v="3"/>
  </r>
  <r>
    <s v="ORD0434"/>
    <x v="54"/>
    <x v="2"/>
    <x v="3"/>
    <s v="Product_18"/>
    <n v="4"/>
    <n v="1697"/>
    <n v="6788"/>
    <n v="863"/>
    <x v="2"/>
  </r>
  <r>
    <s v="ORD0435"/>
    <x v="162"/>
    <x v="0"/>
    <x v="2"/>
    <s v="Product_1"/>
    <n v="9"/>
    <n v="691"/>
    <n v="6219"/>
    <n v="2288"/>
    <x v="1"/>
  </r>
  <r>
    <s v="ORD0436"/>
    <x v="262"/>
    <x v="2"/>
    <x v="3"/>
    <s v="Product_13"/>
    <n v="9"/>
    <n v="633"/>
    <n v="5697"/>
    <n v="1593"/>
    <x v="3"/>
  </r>
  <r>
    <s v="ORD0437"/>
    <x v="244"/>
    <x v="3"/>
    <x v="4"/>
    <s v="Product_42"/>
    <n v="6"/>
    <n v="1109"/>
    <n v="6654"/>
    <n v="1496"/>
    <x v="1"/>
  </r>
  <r>
    <s v="ORD0438"/>
    <x v="249"/>
    <x v="2"/>
    <x v="2"/>
    <s v="Product_46"/>
    <n v="2"/>
    <n v="1847"/>
    <n v="3694"/>
    <n v="469"/>
    <x v="0"/>
  </r>
  <r>
    <s v="ORD0439"/>
    <x v="7"/>
    <x v="1"/>
    <x v="4"/>
    <s v="Product_14"/>
    <n v="1"/>
    <n v="2198"/>
    <n v="2198"/>
    <n v="787"/>
    <x v="1"/>
  </r>
  <r>
    <s v="ORD0440"/>
    <x v="263"/>
    <x v="3"/>
    <x v="0"/>
    <s v="Product_38"/>
    <n v="10"/>
    <n v="1538"/>
    <n v="15380"/>
    <n v="3943"/>
    <x v="2"/>
  </r>
  <r>
    <s v="ORD0441"/>
    <x v="29"/>
    <x v="1"/>
    <x v="4"/>
    <s v="Product_3"/>
    <n v="10"/>
    <n v="3137"/>
    <n v="31370"/>
    <n v="12351"/>
    <x v="3"/>
  </r>
  <r>
    <s v="ORD0442"/>
    <x v="245"/>
    <x v="1"/>
    <x v="1"/>
    <s v="Product_1"/>
    <n v="5"/>
    <n v="1922"/>
    <n v="9610"/>
    <n v="1927"/>
    <x v="1"/>
  </r>
  <r>
    <s v="ORD0443"/>
    <x v="132"/>
    <x v="2"/>
    <x v="0"/>
    <s v="Product_37"/>
    <n v="5"/>
    <n v="1854"/>
    <n v="9270"/>
    <n v="1349"/>
    <x v="0"/>
  </r>
  <r>
    <s v="ORD0444"/>
    <x v="38"/>
    <x v="1"/>
    <x v="3"/>
    <s v="Product_32"/>
    <n v="6"/>
    <n v="3598"/>
    <n v="21588"/>
    <n v="5859"/>
    <x v="3"/>
  </r>
  <r>
    <s v="ORD0445"/>
    <x v="67"/>
    <x v="2"/>
    <x v="0"/>
    <s v="Product_31"/>
    <n v="3"/>
    <n v="4760"/>
    <n v="14280"/>
    <n v="5174"/>
    <x v="1"/>
  </r>
  <r>
    <s v="ORD0446"/>
    <x v="264"/>
    <x v="0"/>
    <x v="3"/>
    <s v="Product_31"/>
    <n v="7"/>
    <n v="847"/>
    <n v="5929"/>
    <n v="1141"/>
    <x v="1"/>
  </r>
  <r>
    <s v="ORD0447"/>
    <x v="265"/>
    <x v="3"/>
    <x v="1"/>
    <s v="Product_42"/>
    <n v="3"/>
    <n v="4156"/>
    <n v="12468"/>
    <n v="4421"/>
    <x v="2"/>
  </r>
  <r>
    <s v="ORD0448"/>
    <x v="175"/>
    <x v="2"/>
    <x v="4"/>
    <s v="Product_20"/>
    <n v="2"/>
    <n v="1493"/>
    <n v="2986"/>
    <n v="720"/>
    <x v="2"/>
  </r>
  <r>
    <s v="ORD0449"/>
    <x v="167"/>
    <x v="2"/>
    <x v="1"/>
    <s v="Product_29"/>
    <n v="1"/>
    <n v="1113"/>
    <n v="1113"/>
    <n v="191"/>
    <x v="1"/>
  </r>
  <r>
    <s v="ORD0450"/>
    <x v="266"/>
    <x v="3"/>
    <x v="1"/>
    <s v="Product_10"/>
    <n v="5"/>
    <n v="2617"/>
    <n v="13085"/>
    <n v="4499"/>
    <x v="1"/>
  </r>
  <r>
    <s v="ORD0451"/>
    <x v="267"/>
    <x v="0"/>
    <x v="3"/>
    <s v="Product_47"/>
    <n v="7"/>
    <n v="1805"/>
    <n v="12635"/>
    <n v="3159"/>
    <x v="1"/>
  </r>
  <r>
    <s v="ORD0452"/>
    <x v="237"/>
    <x v="2"/>
    <x v="4"/>
    <s v="Product_30"/>
    <n v="7"/>
    <n v="3762"/>
    <n v="26334"/>
    <n v="5035"/>
    <x v="2"/>
  </r>
  <r>
    <s v="ORD0453"/>
    <x v="249"/>
    <x v="3"/>
    <x v="1"/>
    <s v="Product_29"/>
    <n v="5"/>
    <n v="3929"/>
    <n v="19645"/>
    <n v="2902"/>
    <x v="0"/>
  </r>
  <r>
    <s v="ORD0454"/>
    <x v="117"/>
    <x v="3"/>
    <x v="3"/>
    <s v="Product_37"/>
    <n v="9"/>
    <n v="2591"/>
    <n v="23319"/>
    <n v="3753"/>
    <x v="3"/>
  </r>
  <r>
    <s v="ORD0455"/>
    <x v="215"/>
    <x v="0"/>
    <x v="3"/>
    <s v="Product_28"/>
    <n v="7"/>
    <n v="2390"/>
    <n v="16730"/>
    <n v="4801"/>
    <x v="2"/>
  </r>
  <r>
    <s v="ORD0456"/>
    <x v="234"/>
    <x v="3"/>
    <x v="3"/>
    <s v="Product_39"/>
    <n v="7"/>
    <n v="1487"/>
    <n v="10409"/>
    <n v="3751"/>
    <x v="0"/>
  </r>
  <r>
    <s v="ORD0457"/>
    <x v="160"/>
    <x v="0"/>
    <x v="0"/>
    <s v="Product_16"/>
    <n v="2"/>
    <n v="504"/>
    <n v="1008"/>
    <n v="138"/>
    <x v="0"/>
  </r>
  <r>
    <s v="ORD0458"/>
    <x v="268"/>
    <x v="0"/>
    <x v="2"/>
    <s v="Product_47"/>
    <n v="3"/>
    <n v="2160"/>
    <n v="6480"/>
    <n v="1965"/>
    <x v="2"/>
  </r>
  <r>
    <s v="ORD0459"/>
    <x v="54"/>
    <x v="3"/>
    <x v="0"/>
    <s v="Product_30"/>
    <n v="3"/>
    <n v="3841"/>
    <n v="11523"/>
    <n v="2264"/>
    <x v="2"/>
  </r>
  <r>
    <s v="ORD0460"/>
    <x v="1"/>
    <x v="2"/>
    <x v="0"/>
    <s v="Product_25"/>
    <n v="2"/>
    <n v="3478"/>
    <n v="6956"/>
    <n v="1872"/>
    <x v="2"/>
  </r>
  <r>
    <s v="ORD0461"/>
    <x v="221"/>
    <x v="3"/>
    <x v="1"/>
    <s v="Product_47"/>
    <n v="3"/>
    <n v="1611"/>
    <n v="4833"/>
    <n v="713"/>
    <x v="0"/>
  </r>
  <r>
    <s v="ORD0462"/>
    <x v="9"/>
    <x v="3"/>
    <x v="1"/>
    <s v="Product_25"/>
    <n v="1"/>
    <n v="1196"/>
    <n v="1196"/>
    <n v="313"/>
    <x v="1"/>
  </r>
  <r>
    <s v="ORD0463"/>
    <x v="111"/>
    <x v="3"/>
    <x v="2"/>
    <s v="Product_50"/>
    <n v="10"/>
    <n v="2095"/>
    <n v="20950"/>
    <n v="4408"/>
    <x v="0"/>
  </r>
  <r>
    <s v="ORD0464"/>
    <x v="269"/>
    <x v="2"/>
    <x v="3"/>
    <s v="Product_22"/>
    <n v="9"/>
    <n v="2795"/>
    <n v="25155"/>
    <n v="7618"/>
    <x v="0"/>
  </r>
  <r>
    <s v="ORD0465"/>
    <x v="142"/>
    <x v="2"/>
    <x v="2"/>
    <s v="Product_27"/>
    <n v="2"/>
    <n v="1293"/>
    <n v="2586"/>
    <n v="591"/>
    <x v="0"/>
  </r>
  <r>
    <s v="ORD0466"/>
    <x v="270"/>
    <x v="3"/>
    <x v="3"/>
    <s v="Product_15"/>
    <n v="2"/>
    <n v="3293"/>
    <n v="6586"/>
    <n v="2615"/>
    <x v="1"/>
  </r>
  <r>
    <s v="ORD0467"/>
    <x v="239"/>
    <x v="2"/>
    <x v="4"/>
    <s v="Product_9"/>
    <n v="10"/>
    <n v="3615"/>
    <n v="36150"/>
    <n v="14131"/>
    <x v="3"/>
  </r>
  <r>
    <s v="ORD0468"/>
    <x v="3"/>
    <x v="3"/>
    <x v="2"/>
    <s v="Product_45"/>
    <n v="6"/>
    <n v="736"/>
    <n v="4416"/>
    <n v="540"/>
    <x v="0"/>
  </r>
  <r>
    <s v="ORD0469"/>
    <x v="115"/>
    <x v="2"/>
    <x v="3"/>
    <s v="Product_36"/>
    <n v="10"/>
    <n v="650"/>
    <n v="6500"/>
    <n v="1733"/>
    <x v="0"/>
  </r>
  <r>
    <s v="ORD0470"/>
    <x v="271"/>
    <x v="3"/>
    <x v="4"/>
    <s v="Product_43"/>
    <n v="6"/>
    <n v="3837"/>
    <n v="23022"/>
    <n v="2713"/>
    <x v="1"/>
  </r>
  <r>
    <s v="ORD0471"/>
    <x v="161"/>
    <x v="3"/>
    <x v="1"/>
    <s v="Product_39"/>
    <n v="5"/>
    <n v="3701"/>
    <n v="18505"/>
    <n v="5438"/>
    <x v="2"/>
  </r>
  <r>
    <s v="ORD0472"/>
    <x v="172"/>
    <x v="0"/>
    <x v="2"/>
    <s v="Product_15"/>
    <n v="8"/>
    <n v="4530"/>
    <n v="36240"/>
    <n v="10317"/>
    <x v="0"/>
  </r>
  <r>
    <s v="ORD0473"/>
    <x v="193"/>
    <x v="0"/>
    <x v="0"/>
    <s v="Product_45"/>
    <n v="1"/>
    <n v="2584"/>
    <n v="2584"/>
    <n v="868"/>
    <x v="1"/>
  </r>
  <r>
    <s v="ORD0474"/>
    <x v="272"/>
    <x v="2"/>
    <x v="3"/>
    <s v="Product_49"/>
    <n v="1"/>
    <n v="2310"/>
    <n v="2310"/>
    <n v="855"/>
    <x v="3"/>
  </r>
  <r>
    <s v="ORD0475"/>
    <x v="112"/>
    <x v="1"/>
    <x v="3"/>
    <s v="Product_18"/>
    <n v="10"/>
    <n v="503"/>
    <n v="5030"/>
    <n v="553"/>
    <x v="2"/>
  </r>
  <r>
    <s v="ORD0476"/>
    <x v="173"/>
    <x v="0"/>
    <x v="2"/>
    <s v="Product_8"/>
    <n v="7"/>
    <n v="4754"/>
    <n v="33278"/>
    <n v="7161"/>
    <x v="1"/>
  </r>
  <r>
    <s v="ORD0477"/>
    <x v="205"/>
    <x v="1"/>
    <x v="3"/>
    <s v="Product_33"/>
    <n v="5"/>
    <n v="4754"/>
    <n v="23770"/>
    <n v="3938"/>
    <x v="1"/>
  </r>
  <r>
    <s v="ORD0478"/>
    <x v="273"/>
    <x v="0"/>
    <x v="3"/>
    <s v="Product_26"/>
    <n v="3"/>
    <n v="4329"/>
    <n v="12987"/>
    <n v="3242"/>
    <x v="3"/>
  </r>
  <r>
    <s v="ORD0479"/>
    <x v="273"/>
    <x v="1"/>
    <x v="1"/>
    <s v="Product_38"/>
    <n v="7"/>
    <n v="4343"/>
    <n v="30401"/>
    <n v="7255"/>
    <x v="2"/>
  </r>
  <r>
    <s v="ORD0480"/>
    <x v="132"/>
    <x v="3"/>
    <x v="4"/>
    <s v="Product_11"/>
    <n v="8"/>
    <n v="3392"/>
    <n v="27136"/>
    <n v="10808"/>
    <x v="0"/>
  </r>
  <r>
    <s v="ORD0481"/>
    <x v="28"/>
    <x v="1"/>
    <x v="3"/>
    <s v="Product_21"/>
    <n v="1"/>
    <n v="1154"/>
    <n v="1154"/>
    <n v="327"/>
    <x v="2"/>
  </r>
  <r>
    <s v="ORD0482"/>
    <x v="69"/>
    <x v="2"/>
    <x v="0"/>
    <s v="Product_33"/>
    <n v="4"/>
    <n v="1040"/>
    <n v="4160"/>
    <n v="1068"/>
    <x v="1"/>
  </r>
  <r>
    <s v="ORD0483"/>
    <x v="274"/>
    <x v="0"/>
    <x v="2"/>
    <s v="Product_23"/>
    <n v="6"/>
    <n v="942"/>
    <n v="5652"/>
    <n v="973"/>
    <x v="2"/>
  </r>
  <r>
    <s v="ORD0484"/>
    <x v="146"/>
    <x v="2"/>
    <x v="3"/>
    <s v="Product_18"/>
    <n v="2"/>
    <n v="2970"/>
    <n v="5940"/>
    <n v="1330"/>
    <x v="0"/>
  </r>
  <r>
    <s v="ORD0485"/>
    <x v="128"/>
    <x v="3"/>
    <x v="1"/>
    <s v="Product_13"/>
    <n v="6"/>
    <n v="3173"/>
    <n v="19038"/>
    <n v="7332"/>
    <x v="0"/>
  </r>
  <r>
    <s v="ORD0486"/>
    <x v="275"/>
    <x v="0"/>
    <x v="4"/>
    <s v="Product_26"/>
    <n v="10"/>
    <n v="3853"/>
    <n v="38530"/>
    <n v="5505"/>
    <x v="0"/>
  </r>
  <r>
    <s v="ORD0487"/>
    <x v="205"/>
    <x v="2"/>
    <x v="2"/>
    <s v="Product_5"/>
    <n v="7"/>
    <n v="4718"/>
    <n v="33026"/>
    <n v="8583"/>
    <x v="0"/>
  </r>
  <r>
    <s v="ORD0488"/>
    <x v="105"/>
    <x v="1"/>
    <x v="4"/>
    <s v="Product_47"/>
    <n v="8"/>
    <n v="501"/>
    <n v="4008"/>
    <n v="773"/>
    <x v="1"/>
  </r>
  <r>
    <s v="ORD0489"/>
    <x v="66"/>
    <x v="2"/>
    <x v="2"/>
    <s v="Product_34"/>
    <n v="10"/>
    <n v="2629"/>
    <n v="26290"/>
    <n v="8069"/>
    <x v="0"/>
  </r>
  <r>
    <s v="ORD0490"/>
    <x v="203"/>
    <x v="0"/>
    <x v="0"/>
    <s v="Product_37"/>
    <n v="10"/>
    <n v="4075"/>
    <n v="40750"/>
    <n v="6046"/>
    <x v="0"/>
  </r>
  <r>
    <s v="ORD0491"/>
    <x v="52"/>
    <x v="0"/>
    <x v="1"/>
    <s v="Product_6"/>
    <n v="1"/>
    <n v="1613"/>
    <n v="1613"/>
    <n v="601"/>
    <x v="0"/>
  </r>
  <r>
    <s v="ORD0492"/>
    <x v="177"/>
    <x v="2"/>
    <x v="4"/>
    <s v="Product_3"/>
    <n v="2"/>
    <n v="2652"/>
    <n v="5304"/>
    <n v="1726"/>
    <x v="3"/>
  </r>
  <r>
    <s v="ORD0493"/>
    <x v="12"/>
    <x v="0"/>
    <x v="4"/>
    <s v="Product_16"/>
    <n v="10"/>
    <n v="4097"/>
    <n v="40970"/>
    <n v="8435"/>
    <x v="1"/>
  </r>
  <r>
    <s v="ORD0494"/>
    <x v="212"/>
    <x v="1"/>
    <x v="3"/>
    <s v="Product_10"/>
    <n v="10"/>
    <n v="2400"/>
    <n v="24000"/>
    <n v="8474"/>
    <x v="0"/>
  </r>
  <r>
    <s v="ORD0495"/>
    <x v="106"/>
    <x v="3"/>
    <x v="4"/>
    <s v="Product_15"/>
    <n v="4"/>
    <n v="2620"/>
    <n v="10480"/>
    <n v="4174"/>
    <x v="2"/>
  </r>
  <r>
    <s v="ORD0496"/>
    <x v="26"/>
    <x v="3"/>
    <x v="1"/>
    <s v="Product_7"/>
    <n v="3"/>
    <n v="3545"/>
    <n v="10635"/>
    <n v="1714"/>
    <x v="2"/>
  </r>
  <r>
    <s v="ORD0497"/>
    <x v="276"/>
    <x v="2"/>
    <x v="0"/>
    <s v="Product_4"/>
    <n v="1"/>
    <n v="1166"/>
    <n v="1166"/>
    <n v="433"/>
    <x v="2"/>
  </r>
  <r>
    <s v="ORD0498"/>
    <x v="70"/>
    <x v="2"/>
    <x v="1"/>
    <s v="Product_13"/>
    <n v="6"/>
    <n v="4321"/>
    <n v="25926"/>
    <n v="9032"/>
    <x v="3"/>
  </r>
  <r>
    <s v="ORD0499"/>
    <x v="277"/>
    <x v="0"/>
    <x v="3"/>
    <s v="Product_1"/>
    <n v="5"/>
    <n v="2579"/>
    <n v="12895"/>
    <n v="3121"/>
    <x v="3"/>
  </r>
  <r>
    <s v="ORD0500"/>
    <x v="278"/>
    <x v="3"/>
    <x v="4"/>
    <s v="Product_3"/>
    <n v="4"/>
    <n v="3429"/>
    <n v="13716"/>
    <n v="3222"/>
    <x v="1"/>
  </r>
  <r>
    <s v="ORD0501"/>
    <x v="99"/>
    <x v="3"/>
    <x v="1"/>
    <s v="Product_18"/>
    <n v="8"/>
    <n v="2116"/>
    <n v="16928"/>
    <n v="2268"/>
    <x v="3"/>
  </r>
  <r>
    <s v="ORD0502"/>
    <x v="279"/>
    <x v="2"/>
    <x v="2"/>
    <s v="Product_50"/>
    <n v="8"/>
    <n v="532"/>
    <n v="4256"/>
    <n v="1699"/>
    <x v="2"/>
  </r>
  <r>
    <s v="ORD0503"/>
    <x v="265"/>
    <x v="1"/>
    <x v="4"/>
    <s v="Product_30"/>
    <n v="1"/>
    <n v="3765"/>
    <n v="3765"/>
    <n v="805"/>
    <x v="1"/>
  </r>
  <r>
    <s v="ORD0504"/>
    <x v="71"/>
    <x v="2"/>
    <x v="2"/>
    <s v="Product_2"/>
    <n v="3"/>
    <n v="4890"/>
    <n v="14670"/>
    <n v="4084"/>
    <x v="3"/>
  </r>
  <r>
    <s v="ORD0505"/>
    <x v="180"/>
    <x v="0"/>
    <x v="4"/>
    <s v="Product_45"/>
    <n v="1"/>
    <n v="4201"/>
    <n v="4201"/>
    <n v="1522"/>
    <x v="2"/>
  </r>
  <r>
    <s v="ORD0506"/>
    <x v="278"/>
    <x v="3"/>
    <x v="1"/>
    <s v="Product_23"/>
    <n v="1"/>
    <n v="3969"/>
    <n v="3969"/>
    <n v="431"/>
    <x v="1"/>
  </r>
  <r>
    <s v="ORD0507"/>
    <x v="280"/>
    <x v="0"/>
    <x v="4"/>
    <s v="Product_43"/>
    <n v="10"/>
    <n v="3275"/>
    <n v="32750"/>
    <n v="3301"/>
    <x v="0"/>
  </r>
  <r>
    <s v="ORD0508"/>
    <x v="256"/>
    <x v="3"/>
    <x v="2"/>
    <s v="Product_29"/>
    <n v="3"/>
    <n v="569"/>
    <n v="1707"/>
    <n v="595"/>
    <x v="0"/>
  </r>
  <r>
    <s v="ORD0509"/>
    <x v="281"/>
    <x v="3"/>
    <x v="2"/>
    <s v="Product_13"/>
    <n v="1"/>
    <n v="2418"/>
    <n v="2418"/>
    <n v="847"/>
    <x v="3"/>
  </r>
  <r>
    <s v="ORD0510"/>
    <x v="123"/>
    <x v="3"/>
    <x v="0"/>
    <s v="Product_12"/>
    <n v="3"/>
    <n v="3080"/>
    <n v="9240"/>
    <n v="2608"/>
    <x v="3"/>
  </r>
  <r>
    <s v="ORD0511"/>
    <x v="151"/>
    <x v="3"/>
    <x v="0"/>
    <s v="Product_17"/>
    <n v="8"/>
    <n v="4143"/>
    <n v="33144"/>
    <n v="11258"/>
    <x v="2"/>
  </r>
  <r>
    <s v="ORD0512"/>
    <x v="10"/>
    <x v="1"/>
    <x v="3"/>
    <s v="Product_3"/>
    <n v="5"/>
    <n v="2588"/>
    <n v="12940"/>
    <n v="4405"/>
    <x v="3"/>
  </r>
  <r>
    <s v="ORD0513"/>
    <x v="231"/>
    <x v="3"/>
    <x v="1"/>
    <s v="Product_27"/>
    <n v="2"/>
    <n v="2753"/>
    <n v="5506"/>
    <n v="926"/>
    <x v="2"/>
  </r>
  <r>
    <s v="ORD0514"/>
    <x v="282"/>
    <x v="3"/>
    <x v="1"/>
    <s v="Product_49"/>
    <n v="2"/>
    <n v="2760"/>
    <n v="5520"/>
    <n v="1409"/>
    <x v="2"/>
  </r>
  <r>
    <s v="ORD0515"/>
    <x v="209"/>
    <x v="2"/>
    <x v="2"/>
    <s v="Product_33"/>
    <n v="7"/>
    <n v="2618"/>
    <n v="18326"/>
    <n v="4628"/>
    <x v="2"/>
  </r>
  <r>
    <s v="ORD0516"/>
    <x v="52"/>
    <x v="1"/>
    <x v="0"/>
    <s v="Product_19"/>
    <n v="10"/>
    <n v="3507"/>
    <n v="35070"/>
    <n v="13344"/>
    <x v="3"/>
  </r>
  <r>
    <s v="ORD0517"/>
    <x v="98"/>
    <x v="3"/>
    <x v="1"/>
    <s v="Product_19"/>
    <n v="10"/>
    <n v="3023"/>
    <n v="30230"/>
    <n v="11377"/>
    <x v="1"/>
  </r>
  <r>
    <s v="ORD0518"/>
    <x v="43"/>
    <x v="1"/>
    <x v="3"/>
    <s v="Product_10"/>
    <n v="2"/>
    <n v="2280"/>
    <n v="4560"/>
    <n v="716"/>
    <x v="3"/>
  </r>
  <r>
    <s v="ORD0519"/>
    <x v="235"/>
    <x v="2"/>
    <x v="0"/>
    <s v="Product_4"/>
    <n v="6"/>
    <n v="4048"/>
    <n v="24288"/>
    <n v="3197"/>
    <x v="3"/>
  </r>
  <r>
    <s v="ORD0520"/>
    <x v="140"/>
    <x v="0"/>
    <x v="4"/>
    <s v="Product_5"/>
    <n v="7"/>
    <n v="1166"/>
    <n v="8162"/>
    <n v="2991"/>
    <x v="2"/>
  </r>
  <r>
    <s v="ORD0521"/>
    <x v="283"/>
    <x v="3"/>
    <x v="1"/>
    <s v="Product_43"/>
    <n v="2"/>
    <n v="2152"/>
    <n v="4304"/>
    <n v="1627"/>
    <x v="0"/>
  </r>
  <r>
    <s v="ORD0522"/>
    <x v="268"/>
    <x v="0"/>
    <x v="3"/>
    <s v="Product_26"/>
    <n v="8"/>
    <n v="4085"/>
    <n v="32680"/>
    <n v="12033"/>
    <x v="0"/>
  </r>
  <r>
    <s v="ORD0523"/>
    <x v="242"/>
    <x v="2"/>
    <x v="4"/>
    <s v="Product_50"/>
    <n v="7"/>
    <n v="4201"/>
    <n v="29407"/>
    <n v="4706"/>
    <x v="0"/>
  </r>
  <r>
    <s v="ORD0524"/>
    <x v="92"/>
    <x v="1"/>
    <x v="4"/>
    <s v="Product_40"/>
    <n v="9"/>
    <n v="4149"/>
    <n v="37341"/>
    <n v="12011"/>
    <x v="2"/>
  </r>
  <r>
    <s v="ORD0525"/>
    <x v="73"/>
    <x v="3"/>
    <x v="4"/>
    <s v="Product_6"/>
    <n v="2"/>
    <n v="1091"/>
    <n v="2182"/>
    <n v="772"/>
    <x v="1"/>
  </r>
  <r>
    <s v="ORD0526"/>
    <x v="64"/>
    <x v="0"/>
    <x v="2"/>
    <s v="Product_37"/>
    <n v="7"/>
    <n v="3790"/>
    <n v="26530"/>
    <n v="3232"/>
    <x v="0"/>
  </r>
  <r>
    <s v="ORD0527"/>
    <x v="284"/>
    <x v="1"/>
    <x v="4"/>
    <s v="Product_35"/>
    <n v="2"/>
    <n v="1043"/>
    <n v="2086"/>
    <n v="782"/>
    <x v="1"/>
  </r>
  <r>
    <s v="ORD0528"/>
    <x v="285"/>
    <x v="3"/>
    <x v="1"/>
    <s v="Product_37"/>
    <n v="9"/>
    <n v="1965"/>
    <n v="17685"/>
    <n v="4289"/>
    <x v="0"/>
  </r>
  <r>
    <s v="ORD0529"/>
    <x v="157"/>
    <x v="2"/>
    <x v="4"/>
    <s v="Product_1"/>
    <n v="9"/>
    <n v="3916"/>
    <n v="35244"/>
    <n v="12069"/>
    <x v="1"/>
  </r>
  <r>
    <s v="ORD0530"/>
    <x v="243"/>
    <x v="1"/>
    <x v="4"/>
    <s v="Product_19"/>
    <n v="3"/>
    <n v="1131"/>
    <n v="3393"/>
    <n v="1100"/>
    <x v="0"/>
  </r>
  <r>
    <s v="ORD0531"/>
    <x v="125"/>
    <x v="1"/>
    <x v="1"/>
    <s v="Product_27"/>
    <n v="6"/>
    <n v="2787"/>
    <n v="16722"/>
    <n v="2227"/>
    <x v="1"/>
  </r>
  <r>
    <s v="ORD0532"/>
    <x v="229"/>
    <x v="1"/>
    <x v="2"/>
    <s v="Product_1"/>
    <n v="2"/>
    <n v="4951"/>
    <n v="9902"/>
    <n v="3495"/>
    <x v="1"/>
  </r>
  <r>
    <s v="ORD0533"/>
    <x v="181"/>
    <x v="1"/>
    <x v="2"/>
    <s v="Product_35"/>
    <n v="7"/>
    <n v="3951"/>
    <n v="27657"/>
    <n v="10896"/>
    <x v="1"/>
  </r>
  <r>
    <s v="ORD0534"/>
    <x v="166"/>
    <x v="0"/>
    <x v="0"/>
    <s v="Product_20"/>
    <n v="3"/>
    <n v="4883"/>
    <n v="14649"/>
    <n v="4578"/>
    <x v="1"/>
  </r>
  <r>
    <s v="ORD0535"/>
    <x v="147"/>
    <x v="1"/>
    <x v="4"/>
    <s v="Product_46"/>
    <n v="10"/>
    <n v="2528"/>
    <n v="25280"/>
    <n v="9483"/>
    <x v="3"/>
  </r>
  <r>
    <s v="ORD0536"/>
    <x v="116"/>
    <x v="0"/>
    <x v="3"/>
    <s v="Product_32"/>
    <n v="1"/>
    <n v="1692"/>
    <n v="1692"/>
    <n v="247"/>
    <x v="0"/>
  </r>
  <r>
    <s v="ORD0537"/>
    <x v="159"/>
    <x v="3"/>
    <x v="3"/>
    <s v="Product_21"/>
    <n v="7"/>
    <n v="1884"/>
    <n v="13188"/>
    <n v="3992"/>
    <x v="0"/>
  </r>
  <r>
    <s v="ORD0538"/>
    <x v="234"/>
    <x v="0"/>
    <x v="0"/>
    <s v="Product_6"/>
    <n v="5"/>
    <n v="1947"/>
    <n v="9735"/>
    <n v="1476"/>
    <x v="3"/>
  </r>
  <r>
    <s v="ORD0539"/>
    <x v="40"/>
    <x v="3"/>
    <x v="2"/>
    <s v="Product_29"/>
    <n v="1"/>
    <n v="4845"/>
    <n v="4845"/>
    <n v="1024"/>
    <x v="2"/>
  </r>
  <r>
    <s v="ORD0540"/>
    <x v="286"/>
    <x v="2"/>
    <x v="1"/>
    <s v="Product_7"/>
    <n v="10"/>
    <n v="4225"/>
    <n v="42250"/>
    <n v="9168"/>
    <x v="1"/>
  </r>
  <r>
    <s v="ORD0541"/>
    <x v="109"/>
    <x v="2"/>
    <x v="3"/>
    <s v="Product_10"/>
    <n v="10"/>
    <n v="2891"/>
    <n v="28910"/>
    <n v="6084"/>
    <x v="3"/>
  </r>
  <r>
    <s v="ORD0542"/>
    <x v="0"/>
    <x v="3"/>
    <x v="3"/>
    <s v="Product_35"/>
    <n v="5"/>
    <n v="568"/>
    <n v="2840"/>
    <n v="515"/>
    <x v="2"/>
  </r>
  <r>
    <s v="ORD0543"/>
    <x v="128"/>
    <x v="2"/>
    <x v="0"/>
    <s v="Product_25"/>
    <n v="8"/>
    <n v="2879"/>
    <n v="23032"/>
    <n v="5290"/>
    <x v="0"/>
  </r>
  <r>
    <s v="ORD0544"/>
    <x v="193"/>
    <x v="1"/>
    <x v="2"/>
    <s v="Product_37"/>
    <n v="6"/>
    <n v="1981"/>
    <n v="11886"/>
    <n v="1746"/>
    <x v="3"/>
  </r>
  <r>
    <s v="ORD0545"/>
    <x v="108"/>
    <x v="2"/>
    <x v="4"/>
    <s v="Product_2"/>
    <n v="7"/>
    <n v="4582"/>
    <n v="32074"/>
    <n v="9469"/>
    <x v="1"/>
  </r>
  <r>
    <s v="ORD0546"/>
    <x v="287"/>
    <x v="1"/>
    <x v="4"/>
    <s v="Product_13"/>
    <n v="6"/>
    <n v="2829"/>
    <n v="16974"/>
    <n v="3896"/>
    <x v="3"/>
  </r>
  <r>
    <s v="ORD0547"/>
    <x v="174"/>
    <x v="2"/>
    <x v="1"/>
    <s v="Product_47"/>
    <n v="5"/>
    <n v="1941"/>
    <n v="9705"/>
    <n v="2540"/>
    <x v="1"/>
  </r>
  <r>
    <s v="ORD0548"/>
    <x v="178"/>
    <x v="2"/>
    <x v="0"/>
    <s v="Product_10"/>
    <n v="8"/>
    <n v="3498"/>
    <n v="27984"/>
    <n v="10379"/>
    <x v="3"/>
  </r>
  <r>
    <s v="ORD0549"/>
    <x v="198"/>
    <x v="3"/>
    <x v="2"/>
    <s v="Product_14"/>
    <n v="3"/>
    <n v="1277"/>
    <n v="3831"/>
    <n v="533"/>
    <x v="3"/>
  </r>
  <r>
    <s v="ORD0550"/>
    <x v="43"/>
    <x v="0"/>
    <x v="3"/>
    <s v="Product_15"/>
    <n v="6"/>
    <n v="3629"/>
    <n v="21774"/>
    <n v="8448"/>
    <x v="2"/>
  </r>
  <r>
    <s v="ORD0551"/>
    <x v="288"/>
    <x v="0"/>
    <x v="1"/>
    <s v="Product_1"/>
    <n v="5"/>
    <n v="1788"/>
    <n v="8940"/>
    <n v="1979"/>
    <x v="1"/>
  </r>
  <r>
    <s v="ORD0552"/>
    <x v="219"/>
    <x v="3"/>
    <x v="3"/>
    <s v="Product_40"/>
    <n v="3"/>
    <n v="4387"/>
    <n v="13161"/>
    <n v="3315"/>
    <x v="2"/>
  </r>
  <r>
    <s v="ORD0553"/>
    <x v="289"/>
    <x v="3"/>
    <x v="1"/>
    <s v="Product_13"/>
    <n v="6"/>
    <n v="2751"/>
    <n v="16506"/>
    <n v="5339"/>
    <x v="2"/>
  </r>
  <r>
    <s v="ORD0554"/>
    <x v="290"/>
    <x v="3"/>
    <x v="1"/>
    <s v="Product_21"/>
    <n v="7"/>
    <n v="4039"/>
    <n v="28273"/>
    <n v="4074"/>
    <x v="0"/>
  </r>
  <r>
    <s v="ORD0555"/>
    <x v="253"/>
    <x v="0"/>
    <x v="1"/>
    <s v="Product_43"/>
    <n v="2"/>
    <n v="2412"/>
    <n v="4824"/>
    <n v="719"/>
    <x v="2"/>
  </r>
  <r>
    <s v="ORD0556"/>
    <x v="48"/>
    <x v="0"/>
    <x v="1"/>
    <s v="Product_25"/>
    <n v="8"/>
    <n v="4246"/>
    <n v="33968"/>
    <n v="7557"/>
    <x v="3"/>
  </r>
  <r>
    <s v="ORD0557"/>
    <x v="121"/>
    <x v="3"/>
    <x v="1"/>
    <s v="Product_28"/>
    <n v="10"/>
    <n v="2947"/>
    <n v="29470"/>
    <n v="8916"/>
    <x v="2"/>
  </r>
  <r>
    <s v="ORD0558"/>
    <x v="228"/>
    <x v="1"/>
    <x v="3"/>
    <s v="Product_21"/>
    <n v="7"/>
    <n v="4203"/>
    <n v="29421"/>
    <n v="6742"/>
    <x v="1"/>
  </r>
  <r>
    <s v="ORD0559"/>
    <x v="88"/>
    <x v="3"/>
    <x v="0"/>
    <s v="Product_43"/>
    <n v="5"/>
    <n v="1274"/>
    <n v="6370"/>
    <n v="948"/>
    <x v="0"/>
  </r>
  <r>
    <s v="ORD0560"/>
    <x v="211"/>
    <x v="1"/>
    <x v="3"/>
    <s v="Product_23"/>
    <n v="4"/>
    <n v="1120"/>
    <n v="4480"/>
    <n v="962"/>
    <x v="1"/>
  </r>
  <r>
    <s v="ORD0561"/>
    <x v="99"/>
    <x v="0"/>
    <x v="4"/>
    <s v="Product_21"/>
    <n v="6"/>
    <n v="4614"/>
    <n v="27684"/>
    <n v="6597"/>
    <x v="2"/>
  </r>
  <r>
    <s v="ORD0562"/>
    <x v="107"/>
    <x v="2"/>
    <x v="4"/>
    <s v="Product_47"/>
    <n v="9"/>
    <n v="3883"/>
    <n v="34947"/>
    <n v="5654"/>
    <x v="1"/>
  </r>
  <r>
    <s v="ORD0563"/>
    <x v="155"/>
    <x v="3"/>
    <x v="2"/>
    <s v="Product_4"/>
    <n v="6"/>
    <n v="1099"/>
    <n v="6594"/>
    <n v="1487"/>
    <x v="3"/>
  </r>
  <r>
    <s v="ORD0564"/>
    <x v="291"/>
    <x v="3"/>
    <x v="4"/>
    <s v="Product_28"/>
    <n v="3"/>
    <n v="4246"/>
    <n v="12738"/>
    <n v="4718"/>
    <x v="0"/>
  </r>
  <r>
    <s v="ORD0565"/>
    <x v="245"/>
    <x v="3"/>
    <x v="0"/>
    <s v="Product_20"/>
    <n v="4"/>
    <n v="4391"/>
    <n v="17564"/>
    <n v="4957"/>
    <x v="2"/>
  </r>
  <r>
    <s v="ORD0566"/>
    <x v="13"/>
    <x v="2"/>
    <x v="0"/>
    <s v="Product_6"/>
    <n v="6"/>
    <n v="2489"/>
    <n v="14934"/>
    <n v="1575"/>
    <x v="1"/>
  </r>
  <r>
    <s v="ORD0567"/>
    <x v="79"/>
    <x v="0"/>
    <x v="3"/>
    <s v="Product_30"/>
    <n v="10"/>
    <n v="1006"/>
    <n v="10060"/>
    <n v="2060"/>
    <x v="0"/>
  </r>
  <r>
    <s v="ORD0568"/>
    <x v="292"/>
    <x v="2"/>
    <x v="0"/>
    <s v="Product_37"/>
    <n v="3"/>
    <n v="664"/>
    <n v="1992"/>
    <n v="768"/>
    <x v="2"/>
  </r>
  <r>
    <s v="ORD0569"/>
    <x v="138"/>
    <x v="1"/>
    <x v="4"/>
    <s v="Product_16"/>
    <n v="7"/>
    <n v="3223"/>
    <n v="22561"/>
    <n v="6020"/>
    <x v="1"/>
  </r>
  <r>
    <s v="ORD0570"/>
    <x v="293"/>
    <x v="0"/>
    <x v="4"/>
    <s v="Product_29"/>
    <n v="1"/>
    <n v="2792"/>
    <n v="2792"/>
    <n v="308"/>
    <x v="0"/>
  </r>
  <r>
    <s v="ORD0571"/>
    <x v="294"/>
    <x v="0"/>
    <x v="3"/>
    <s v="Product_10"/>
    <n v="2"/>
    <n v="4198"/>
    <n v="8396"/>
    <n v="2420"/>
    <x v="3"/>
  </r>
  <r>
    <s v="ORD0572"/>
    <x v="276"/>
    <x v="2"/>
    <x v="2"/>
    <s v="Product_12"/>
    <n v="1"/>
    <n v="1611"/>
    <n v="1611"/>
    <n v="297"/>
    <x v="2"/>
  </r>
  <r>
    <s v="ORD0573"/>
    <x v="252"/>
    <x v="1"/>
    <x v="0"/>
    <s v="Product_5"/>
    <n v="10"/>
    <n v="4370"/>
    <n v="43700"/>
    <n v="15802"/>
    <x v="2"/>
  </r>
  <r>
    <s v="ORD0574"/>
    <x v="295"/>
    <x v="1"/>
    <x v="1"/>
    <s v="Product_31"/>
    <n v="10"/>
    <n v="4989"/>
    <n v="49890"/>
    <n v="5851"/>
    <x v="2"/>
  </r>
  <r>
    <s v="ORD0575"/>
    <x v="160"/>
    <x v="3"/>
    <x v="0"/>
    <s v="Product_18"/>
    <n v="8"/>
    <n v="4985"/>
    <n v="39880"/>
    <n v="10339"/>
    <x v="2"/>
  </r>
  <r>
    <s v="ORD0576"/>
    <x v="218"/>
    <x v="3"/>
    <x v="4"/>
    <s v="Product_12"/>
    <n v="1"/>
    <n v="2598"/>
    <n v="2598"/>
    <n v="731"/>
    <x v="0"/>
  </r>
  <r>
    <s v="ORD0577"/>
    <x v="63"/>
    <x v="2"/>
    <x v="3"/>
    <s v="Product_23"/>
    <n v="10"/>
    <n v="4657"/>
    <n v="46570"/>
    <n v="6024"/>
    <x v="0"/>
  </r>
  <r>
    <s v="ORD0578"/>
    <x v="142"/>
    <x v="3"/>
    <x v="2"/>
    <s v="Product_50"/>
    <n v="9"/>
    <n v="2599"/>
    <n v="23391"/>
    <n v="6027"/>
    <x v="3"/>
  </r>
  <r>
    <s v="ORD0579"/>
    <x v="296"/>
    <x v="2"/>
    <x v="4"/>
    <s v="Product_27"/>
    <n v="2"/>
    <n v="1311"/>
    <n v="2622"/>
    <n v="595"/>
    <x v="0"/>
  </r>
  <r>
    <s v="ORD0580"/>
    <x v="88"/>
    <x v="1"/>
    <x v="2"/>
    <s v="Product_13"/>
    <n v="6"/>
    <n v="4999"/>
    <n v="29994"/>
    <n v="8046"/>
    <x v="2"/>
  </r>
  <r>
    <s v="ORD0581"/>
    <x v="256"/>
    <x v="2"/>
    <x v="2"/>
    <s v="Product_9"/>
    <n v="2"/>
    <n v="4671"/>
    <n v="9342"/>
    <n v="946"/>
    <x v="2"/>
  </r>
  <r>
    <s v="ORD0582"/>
    <x v="297"/>
    <x v="0"/>
    <x v="1"/>
    <s v="Product_47"/>
    <n v="8"/>
    <n v="4644"/>
    <n v="37152"/>
    <n v="14299"/>
    <x v="0"/>
  </r>
  <r>
    <s v="ORD0583"/>
    <x v="124"/>
    <x v="1"/>
    <x v="3"/>
    <s v="Product_13"/>
    <n v="5"/>
    <n v="1431"/>
    <n v="7155"/>
    <n v="1152"/>
    <x v="2"/>
  </r>
  <r>
    <s v="ORD0584"/>
    <x v="221"/>
    <x v="2"/>
    <x v="4"/>
    <s v="Product_27"/>
    <n v="1"/>
    <n v="4506"/>
    <n v="4506"/>
    <n v="729"/>
    <x v="2"/>
  </r>
  <r>
    <s v="ORD0585"/>
    <x v="298"/>
    <x v="1"/>
    <x v="0"/>
    <s v="Product_12"/>
    <n v="5"/>
    <n v="4409"/>
    <n v="22045"/>
    <n v="6563"/>
    <x v="1"/>
  </r>
  <r>
    <s v="ORD0586"/>
    <x v="58"/>
    <x v="3"/>
    <x v="2"/>
    <s v="Product_17"/>
    <n v="2"/>
    <n v="996"/>
    <n v="1992"/>
    <n v="680"/>
    <x v="2"/>
  </r>
  <r>
    <s v="ORD0587"/>
    <x v="126"/>
    <x v="2"/>
    <x v="1"/>
    <s v="Product_13"/>
    <n v="9"/>
    <n v="677"/>
    <n v="6093"/>
    <n v="1472"/>
    <x v="3"/>
  </r>
  <r>
    <s v="ORD0588"/>
    <x v="46"/>
    <x v="2"/>
    <x v="2"/>
    <s v="Product_31"/>
    <n v="6"/>
    <n v="2972"/>
    <n v="17832"/>
    <n v="2701"/>
    <x v="1"/>
  </r>
  <r>
    <s v="ORD0589"/>
    <x v="299"/>
    <x v="1"/>
    <x v="1"/>
    <s v="Product_19"/>
    <n v="6"/>
    <n v="4785"/>
    <n v="28710"/>
    <n v="3041"/>
    <x v="0"/>
  </r>
  <r>
    <s v="ORD0590"/>
    <x v="285"/>
    <x v="2"/>
    <x v="0"/>
    <s v="Product_29"/>
    <n v="3"/>
    <n v="4934"/>
    <n v="14802"/>
    <n v="5421"/>
    <x v="2"/>
  </r>
  <r>
    <s v="ORD0591"/>
    <x v="274"/>
    <x v="1"/>
    <x v="4"/>
    <s v="Product_45"/>
    <n v="10"/>
    <n v="3789"/>
    <n v="37890"/>
    <n v="10520"/>
    <x v="1"/>
  </r>
  <r>
    <s v="ORD0592"/>
    <x v="58"/>
    <x v="2"/>
    <x v="0"/>
    <s v="Product_38"/>
    <n v="9"/>
    <n v="734"/>
    <n v="6606"/>
    <n v="1558"/>
    <x v="2"/>
  </r>
  <r>
    <s v="ORD0593"/>
    <x v="206"/>
    <x v="1"/>
    <x v="0"/>
    <s v="Product_3"/>
    <n v="9"/>
    <n v="1448"/>
    <n v="13032"/>
    <n v="1792"/>
    <x v="3"/>
  </r>
  <r>
    <s v="ORD0594"/>
    <x v="246"/>
    <x v="1"/>
    <x v="3"/>
    <s v="Product_25"/>
    <n v="10"/>
    <n v="4850"/>
    <n v="48500"/>
    <n v="8763"/>
    <x v="0"/>
  </r>
  <r>
    <s v="ORD0595"/>
    <x v="286"/>
    <x v="0"/>
    <x v="4"/>
    <s v="Product_35"/>
    <n v="5"/>
    <n v="1791"/>
    <n v="8955"/>
    <n v="1786"/>
    <x v="3"/>
  </r>
  <r>
    <s v="ORD0596"/>
    <x v="233"/>
    <x v="1"/>
    <x v="4"/>
    <s v="Product_30"/>
    <n v="6"/>
    <n v="3898"/>
    <n v="23388"/>
    <n v="6819"/>
    <x v="1"/>
  </r>
  <r>
    <s v="ORD0597"/>
    <x v="120"/>
    <x v="1"/>
    <x v="2"/>
    <s v="Product_8"/>
    <n v="1"/>
    <n v="4950"/>
    <n v="4950"/>
    <n v="1500"/>
    <x v="0"/>
  </r>
  <r>
    <s v="ORD0598"/>
    <x v="135"/>
    <x v="1"/>
    <x v="3"/>
    <s v="Product_38"/>
    <n v="1"/>
    <n v="787"/>
    <n v="787"/>
    <n v="168"/>
    <x v="3"/>
  </r>
  <r>
    <s v="ORD0599"/>
    <x v="122"/>
    <x v="2"/>
    <x v="2"/>
    <s v="Product_8"/>
    <n v="8"/>
    <n v="4093"/>
    <n v="32744"/>
    <n v="3399"/>
    <x v="1"/>
  </r>
  <r>
    <s v="ORD0600"/>
    <x v="199"/>
    <x v="2"/>
    <x v="1"/>
    <s v="Product_30"/>
    <n v="2"/>
    <n v="633"/>
    <n v="1266"/>
    <n v="425"/>
    <x v="1"/>
  </r>
  <r>
    <s v="ORD0601"/>
    <x v="143"/>
    <x v="1"/>
    <x v="1"/>
    <s v="Product_34"/>
    <n v="9"/>
    <n v="1917"/>
    <n v="17253"/>
    <n v="4043"/>
    <x v="0"/>
  </r>
  <r>
    <s v="ORD0602"/>
    <x v="164"/>
    <x v="1"/>
    <x v="1"/>
    <s v="Product_31"/>
    <n v="3"/>
    <n v="3862"/>
    <n v="11586"/>
    <n v="1762"/>
    <x v="2"/>
  </r>
  <r>
    <s v="ORD0603"/>
    <x v="165"/>
    <x v="1"/>
    <x v="3"/>
    <s v="Product_1"/>
    <n v="7"/>
    <n v="2051"/>
    <n v="14357"/>
    <n v="4862"/>
    <x v="2"/>
  </r>
  <r>
    <s v="ORD0604"/>
    <x v="276"/>
    <x v="1"/>
    <x v="0"/>
    <s v="Product_5"/>
    <n v="8"/>
    <n v="3471"/>
    <n v="27768"/>
    <n v="2793"/>
    <x v="2"/>
  </r>
  <r>
    <s v="ORD0605"/>
    <x v="95"/>
    <x v="2"/>
    <x v="3"/>
    <s v="Product_17"/>
    <n v="2"/>
    <n v="941"/>
    <n v="1882"/>
    <n v="469"/>
    <x v="3"/>
  </r>
  <r>
    <s v="ORD0606"/>
    <x v="62"/>
    <x v="1"/>
    <x v="0"/>
    <s v="Product_36"/>
    <n v="6"/>
    <n v="3790"/>
    <n v="22740"/>
    <n v="6653"/>
    <x v="3"/>
  </r>
  <r>
    <s v="ORD0607"/>
    <x v="238"/>
    <x v="0"/>
    <x v="1"/>
    <s v="Product_2"/>
    <n v="3"/>
    <n v="3541"/>
    <n v="10623"/>
    <n v="3946"/>
    <x v="3"/>
  </r>
  <r>
    <s v="ORD0608"/>
    <x v="300"/>
    <x v="1"/>
    <x v="2"/>
    <s v="Product_11"/>
    <n v="2"/>
    <n v="2402"/>
    <n v="4804"/>
    <n v="1484"/>
    <x v="3"/>
  </r>
  <r>
    <s v="ORD0609"/>
    <x v="154"/>
    <x v="1"/>
    <x v="0"/>
    <s v="Product_33"/>
    <n v="9"/>
    <n v="3875"/>
    <n v="34875"/>
    <n v="9832"/>
    <x v="2"/>
  </r>
  <r>
    <s v="ORD0610"/>
    <x v="27"/>
    <x v="0"/>
    <x v="1"/>
    <s v="Product_39"/>
    <n v="6"/>
    <n v="1951"/>
    <n v="11706"/>
    <n v="3959"/>
    <x v="3"/>
  </r>
  <r>
    <s v="ORD0611"/>
    <x v="147"/>
    <x v="2"/>
    <x v="2"/>
    <s v="Product_34"/>
    <n v="3"/>
    <n v="2570"/>
    <n v="7710"/>
    <n v="834"/>
    <x v="1"/>
  </r>
  <r>
    <s v="ORD0612"/>
    <x v="301"/>
    <x v="2"/>
    <x v="2"/>
    <s v="Product_36"/>
    <n v="9"/>
    <n v="1728"/>
    <n v="15552"/>
    <n v="5794"/>
    <x v="2"/>
  </r>
  <r>
    <s v="ORD0613"/>
    <x v="148"/>
    <x v="2"/>
    <x v="2"/>
    <s v="Product_3"/>
    <n v="3"/>
    <n v="1445"/>
    <n v="4335"/>
    <n v="1507"/>
    <x v="3"/>
  </r>
  <r>
    <s v="ORD0614"/>
    <x v="302"/>
    <x v="0"/>
    <x v="0"/>
    <s v="Product_34"/>
    <n v="10"/>
    <n v="2202"/>
    <n v="22020"/>
    <n v="6633"/>
    <x v="0"/>
  </r>
  <r>
    <s v="ORD0615"/>
    <x v="26"/>
    <x v="1"/>
    <x v="4"/>
    <s v="Product_46"/>
    <n v="3"/>
    <n v="1716"/>
    <n v="5148"/>
    <n v="1470"/>
    <x v="1"/>
  </r>
  <r>
    <s v="ORD0616"/>
    <x v="180"/>
    <x v="3"/>
    <x v="1"/>
    <s v="Product_23"/>
    <n v="5"/>
    <n v="2654"/>
    <n v="13270"/>
    <n v="4268"/>
    <x v="0"/>
  </r>
  <r>
    <s v="ORD0617"/>
    <x v="272"/>
    <x v="1"/>
    <x v="4"/>
    <s v="Product_37"/>
    <n v="2"/>
    <n v="1911"/>
    <n v="3822"/>
    <n v="1431"/>
    <x v="2"/>
  </r>
  <r>
    <s v="ORD0618"/>
    <x v="198"/>
    <x v="2"/>
    <x v="1"/>
    <s v="Product_43"/>
    <n v="5"/>
    <n v="1921"/>
    <n v="9605"/>
    <n v="2689"/>
    <x v="0"/>
  </r>
  <r>
    <s v="ORD0619"/>
    <x v="197"/>
    <x v="3"/>
    <x v="1"/>
    <s v="Product_28"/>
    <n v="6"/>
    <n v="1618"/>
    <n v="9708"/>
    <n v="3021"/>
    <x v="3"/>
  </r>
  <r>
    <s v="ORD0620"/>
    <x v="276"/>
    <x v="1"/>
    <x v="4"/>
    <s v="Product_12"/>
    <n v="7"/>
    <n v="3562"/>
    <n v="24934"/>
    <n v="9084"/>
    <x v="0"/>
  </r>
  <r>
    <s v="ORD0621"/>
    <x v="211"/>
    <x v="0"/>
    <x v="4"/>
    <s v="Product_15"/>
    <n v="5"/>
    <n v="816"/>
    <n v="4080"/>
    <n v="1458"/>
    <x v="3"/>
  </r>
  <r>
    <s v="ORD0622"/>
    <x v="182"/>
    <x v="0"/>
    <x v="3"/>
    <s v="Product_27"/>
    <n v="2"/>
    <n v="3954"/>
    <n v="7908"/>
    <n v="2337"/>
    <x v="1"/>
  </r>
  <r>
    <s v="ORD0623"/>
    <x v="135"/>
    <x v="3"/>
    <x v="1"/>
    <s v="Product_29"/>
    <n v="7"/>
    <n v="2306"/>
    <n v="16142"/>
    <n v="3974"/>
    <x v="0"/>
  </r>
  <r>
    <s v="ORD0624"/>
    <x v="152"/>
    <x v="1"/>
    <x v="1"/>
    <s v="Product_42"/>
    <n v="2"/>
    <n v="4923"/>
    <n v="9846"/>
    <n v="3006"/>
    <x v="1"/>
  </r>
  <r>
    <s v="ORD0625"/>
    <x v="131"/>
    <x v="1"/>
    <x v="1"/>
    <s v="Product_12"/>
    <n v="1"/>
    <n v="1552"/>
    <n v="1552"/>
    <n v="397"/>
    <x v="3"/>
  </r>
  <r>
    <s v="ORD0626"/>
    <x v="257"/>
    <x v="3"/>
    <x v="3"/>
    <s v="Product_9"/>
    <n v="8"/>
    <n v="4403"/>
    <n v="35224"/>
    <n v="9349"/>
    <x v="3"/>
  </r>
  <r>
    <s v="ORD0627"/>
    <x v="226"/>
    <x v="1"/>
    <x v="0"/>
    <s v="Product_29"/>
    <n v="4"/>
    <n v="3432"/>
    <n v="13728"/>
    <n v="2173"/>
    <x v="2"/>
  </r>
  <r>
    <s v="ORD0628"/>
    <x v="222"/>
    <x v="0"/>
    <x v="3"/>
    <s v="Product_25"/>
    <n v="3"/>
    <n v="4353"/>
    <n v="13059"/>
    <n v="4523"/>
    <x v="3"/>
  </r>
  <r>
    <s v="ORD0629"/>
    <x v="303"/>
    <x v="0"/>
    <x v="2"/>
    <s v="Product_30"/>
    <n v="5"/>
    <n v="1884"/>
    <n v="9420"/>
    <n v="2679"/>
    <x v="1"/>
  </r>
  <r>
    <s v="ORD0630"/>
    <x v="221"/>
    <x v="0"/>
    <x v="2"/>
    <s v="Product_38"/>
    <n v="3"/>
    <n v="1090"/>
    <n v="3270"/>
    <n v="1202"/>
    <x v="0"/>
  </r>
  <r>
    <s v="ORD0631"/>
    <x v="117"/>
    <x v="2"/>
    <x v="0"/>
    <s v="Product_25"/>
    <n v="10"/>
    <n v="1144"/>
    <n v="11440"/>
    <n v="4070"/>
    <x v="2"/>
  </r>
  <r>
    <s v="ORD0632"/>
    <x v="73"/>
    <x v="2"/>
    <x v="4"/>
    <s v="Product_42"/>
    <n v="3"/>
    <n v="1834"/>
    <n v="5502"/>
    <n v="1463"/>
    <x v="0"/>
  </r>
  <r>
    <s v="ORD0633"/>
    <x v="183"/>
    <x v="1"/>
    <x v="4"/>
    <s v="Product_19"/>
    <n v="6"/>
    <n v="4403"/>
    <n v="26418"/>
    <n v="6018"/>
    <x v="1"/>
  </r>
  <r>
    <s v="ORD0634"/>
    <x v="239"/>
    <x v="1"/>
    <x v="3"/>
    <s v="Product_26"/>
    <n v="10"/>
    <n v="4527"/>
    <n v="45270"/>
    <n v="7402"/>
    <x v="3"/>
  </r>
  <r>
    <s v="ORD0635"/>
    <x v="183"/>
    <x v="1"/>
    <x v="4"/>
    <s v="Product_35"/>
    <n v="7"/>
    <n v="3582"/>
    <n v="25074"/>
    <n v="2773"/>
    <x v="3"/>
  </r>
  <r>
    <s v="ORD0636"/>
    <x v="40"/>
    <x v="3"/>
    <x v="4"/>
    <s v="Product_34"/>
    <n v="4"/>
    <n v="551"/>
    <n v="2204"/>
    <n v="298"/>
    <x v="1"/>
  </r>
  <r>
    <s v="ORD0637"/>
    <x v="304"/>
    <x v="1"/>
    <x v="2"/>
    <s v="Product_14"/>
    <n v="8"/>
    <n v="1729"/>
    <n v="13832"/>
    <n v="2274"/>
    <x v="2"/>
  </r>
  <r>
    <s v="ORD0638"/>
    <x v="163"/>
    <x v="3"/>
    <x v="4"/>
    <s v="Product_25"/>
    <n v="4"/>
    <n v="1317"/>
    <n v="5268"/>
    <n v="594"/>
    <x v="1"/>
  </r>
  <r>
    <s v="ORD0639"/>
    <x v="114"/>
    <x v="0"/>
    <x v="4"/>
    <s v="Product_36"/>
    <n v="5"/>
    <n v="2653"/>
    <n v="13265"/>
    <n v="4906"/>
    <x v="1"/>
  </r>
  <r>
    <s v="ORD0640"/>
    <x v="305"/>
    <x v="0"/>
    <x v="0"/>
    <s v="Product_26"/>
    <n v="3"/>
    <n v="3270"/>
    <n v="9810"/>
    <n v="1203"/>
    <x v="2"/>
  </r>
  <r>
    <s v="ORD0641"/>
    <x v="36"/>
    <x v="3"/>
    <x v="1"/>
    <s v="Product_19"/>
    <n v="3"/>
    <n v="4750"/>
    <n v="14250"/>
    <n v="1726"/>
    <x v="2"/>
  </r>
  <r>
    <s v="ORD0642"/>
    <x v="100"/>
    <x v="1"/>
    <x v="4"/>
    <s v="Product_16"/>
    <n v="4"/>
    <n v="4616"/>
    <n v="18464"/>
    <n v="7056"/>
    <x v="1"/>
  </r>
  <r>
    <s v="ORD0643"/>
    <x v="148"/>
    <x v="0"/>
    <x v="1"/>
    <s v="Product_10"/>
    <n v="8"/>
    <n v="714"/>
    <n v="5712"/>
    <n v="1521"/>
    <x v="1"/>
  </r>
  <r>
    <s v="ORD0644"/>
    <x v="306"/>
    <x v="0"/>
    <x v="1"/>
    <s v="Product_46"/>
    <n v="4"/>
    <n v="1094"/>
    <n v="4376"/>
    <n v="1328"/>
    <x v="3"/>
  </r>
  <r>
    <s v="ORD0645"/>
    <x v="229"/>
    <x v="0"/>
    <x v="1"/>
    <s v="Product_10"/>
    <n v="7"/>
    <n v="1632"/>
    <n v="11424"/>
    <n v="1914"/>
    <x v="0"/>
  </r>
  <r>
    <s v="ORD0646"/>
    <x v="28"/>
    <x v="1"/>
    <x v="1"/>
    <s v="Product_29"/>
    <n v="10"/>
    <n v="1421"/>
    <n v="14210"/>
    <n v="2874"/>
    <x v="3"/>
  </r>
  <r>
    <s v="ORD0647"/>
    <x v="285"/>
    <x v="1"/>
    <x v="4"/>
    <s v="Product_26"/>
    <n v="9"/>
    <n v="2025"/>
    <n v="18225"/>
    <n v="4306"/>
    <x v="1"/>
  </r>
  <r>
    <s v="ORD0648"/>
    <x v="84"/>
    <x v="3"/>
    <x v="3"/>
    <s v="Product_23"/>
    <n v="2"/>
    <n v="2304"/>
    <n v="4608"/>
    <n v="974"/>
    <x v="0"/>
  </r>
  <r>
    <s v="ORD0649"/>
    <x v="89"/>
    <x v="2"/>
    <x v="0"/>
    <s v="Product_47"/>
    <n v="9"/>
    <n v="3590"/>
    <n v="32310"/>
    <n v="5040"/>
    <x v="1"/>
  </r>
  <r>
    <s v="ORD0650"/>
    <x v="23"/>
    <x v="1"/>
    <x v="2"/>
    <s v="Product_37"/>
    <n v="4"/>
    <n v="2807"/>
    <n v="11228"/>
    <n v="3345"/>
    <x v="1"/>
  </r>
  <r>
    <s v="ORD0651"/>
    <x v="183"/>
    <x v="2"/>
    <x v="1"/>
    <s v="Product_21"/>
    <n v="1"/>
    <n v="1784"/>
    <n v="1784"/>
    <n v="652"/>
    <x v="2"/>
  </r>
  <r>
    <s v="ORD0652"/>
    <x v="262"/>
    <x v="1"/>
    <x v="2"/>
    <s v="Product_40"/>
    <n v="3"/>
    <n v="2630"/>
    <n v="7890"/>
    <n v="1971"/>
    <x v="2"/>
  </r>
  <r>
    <s v="ORD0653"/>
    <x v="76"/>
    <x v="2"/>
    <x v="1"/>
    <s v="Product_12"/>
    <n v="2"/>
    <n v="864"/>
    <n v="1728"/>
    <n v="480"/>
    <x v="3"/>
  </r>
  <r>
    <s v="ORD0654"/>
    <x v="0"/>
    <x v="1"/>
    <x v="4"/>
    <s v="Product_17"/>
    <n v="8"/>
    <n v="3382"/>
    <n v="27056"/>
    <n v="7920"/>
    <x v="1"/>
  </r>
  <r>
    <s v="ORD0655"/>
    <x v="114"/>
    <x v="2"/>
    <x v="0"/>
    <s v="Product_22"/>
    <n v="10"/>
    <n v="4996"/>
    <n v="49960"/>
    <n v="18373"/>
    <x v="0"/>
  </r>
  <r>
    <s v="ORD0656"/>
    <x v="185"/>
    <x v="2"/>
    <x v="0"/>
    <s v="Product_29"/>
    <n v="4"/>
    <n v="4753"/>
    <n v="19012"/>
    <n v="6697"/>
    <x v="2"/>
  </r>
  <r>
    <s v="ORD0657"/>
    <x v="92"/>
    <x v="0"/>
    <x v="4"/>
    <s v="Product_35"/>
    <n v="4"/>
    <n v="1293"/>
    <n v="5172"/>
    <n v="1737"/>
    <x v="3"/>
  </r>
  <r>
    <s v="ORD0658"/>
    <x v="226"/>
    <x v="1"/>
    <x v="4"/>
    <s v="Product_36"/>
    <n v="1"/>
    <n v="4509"/>
    <n v="4509"/>
    <n v="1237"/>
    <x v="1"/>
  </r>
  <r>
    <s v="ORD0659"/>
    <x v="253"/>
    <x v="3"/>
    <x v="3"/>
    <s v="Product_11"/>
    <n v="9"/>
    <n v="1991"/>
    <n v="17919"/>
    <n v="5092"/>
    <x v="0"/>
  </r>
  <r>
    <s v="ORD0660"/>
    <x v="24"/>
    <x v="3"/>
    <x v="0"/>
    <s v="Product_38"/>
    <n v="7"/>
    <n v="2230"/>
    <n v="15610"/>
    <n v="2960"/>
    <x v="0"/>
  </r>
  <r>
    <s v="ORD0661"/>
    <x v="80"/>
    <x v="1"/>
    <x v="0"/>
    <s v="Product_35"/>
    <n v="1"/>
    <n v="930"/>
    <n v="930"/>
    <n v="202"/>
    <x v="3"/>
  </r>
  <r>
    <s v="ORD0662"/>
    <x v="236"/>
    <x v="0"/>
    <x v="4"/>
    <s v="Product_34"/>
    <n v="8"/>
    <n v="2271"/>
    <n v="18168"/>
    <n v="3993"/>
    <x v="1"/>
  </r>
  <r>
    <s v="ORD0663"/>
    <x v="120"/>
    <x v="1"/>
    <x v="1"/>
    <s v="Product_3"/>
    <n v="7"/>
    <n v="4585"/>
    <n v="32095"/>
    <n v="10414"/>
    <x v="0"/>
  </r>
  <r>
    <s v="ORD0664"/>
    <x v="25"/>
    <x v="2"/>
    <x v="4"/>
    <s v="Product_1"/>
    <n v="7"/>
    <n v="3832"/>
    <n v="26824"/>
    <n v="5275"/>
    <x v="0"/>
  </r>
  <r>
    <s v="ORD0665"/>
    <x v="97"/>
    <x v="3"/>
    <x v="0"/>
    <s v="Product_9"/>
    <n v="4"/>
    <n v="4466"/>
    <n v="17864"/>
    <n v="5111"/>
    <x v="0"/>
  </r>
  <r>
    <s v="ORD0666"/>
    <x v="307"/>
    <x v="1"/>
    <x v="3"/>
    <s v="Product_32"/>
    <n v="5"/>
    <n v="771"/>
    <n v="3855"/>
    <n v="1145"/>
    <x v="1"/>
  </r>
  <r>
    <s v="ORD0667"/>
    <x v="10"/>
    <x v="0"/>
    <x v="4"/>
    <s v="Product_2"/>
    <n v="8"/>
    <n v="1449"/>
    <n v="11592"/>
    <n v="1968"/>
    <x v="1"/>
  </r>
  <r>
    <s v="ORD0668"/>
    <x v="218"/>
    <x v="0"/>
    <x v="0"/>
    <s v="Product_28"/>
    <n v="10"/>
    <n v="4611"/>
    <n v="46110"/>
    <n v="14070"/>
    <x v="1"/>
  </r>
  <r>
    <s v="ORD0669"/>
    <x v="122"/>
    <x v="0"/>
    <x v="0"/>
    <s v="Product_29"/>
    <n v="6"/>
    <n v="2611"/>
    <n v="15666"/>
    <n v="2423"/>
    <x v="1"/>
  </r>
  <r>
    <s v="ORD0670"/>
    <x v="295"/>
    <x v="3"/>
    <x v="4"/>
    <s v="Product_46"/>
    <n v="5"/>
    <n v="649"/>
    <n v="3245"/>
    <n v="1077"/>
    <x v="3"/>
  </r>
  <r>
    <s v="ORD0671"/>
    <x v="243"/>
    <x v="0"/>
    <x v="2"/>
    <s v="Product_31"/>
    <n v="6"/>
    <n v="2019"/>
    <n v="12114"/>
    <n v="4660"/>
    <x v="3"/>
  </r>
  <r>
    <s v="ORD0672"/>
    <x v="202"/>
    <x v="0"/>
    <x v="4"/>
    <s v="Product_3"/>
    <n v="10"/>
    <n v="3788"/>
    <n v="37880"/>
    <n v="4338"/>
    <x v="0"/>
  </r>
  <r>
    <s v="ORD0673"/>
    <x v="171"/>
    <x v="1"/>
    <x v="4"/>
    <s v="Product_15"/>
    <n v="8"/>
    <n v="4217"/>
    <n v="33736"/>
    <n v="12561"/>
    <x v="1"/>
  </r>
  <r>
    <s v="ORD0674"/>
    <x v="270"/>
    <x v="3"/>
    <x v="3"/>
    <s v="Product_50"/>
    <n v="9"/>
    <n v="4693"/>
    <n v="42237"/>
    <n v="4898"/>
    <x v="1"/>
  </r>
  <r>
    <s v="ORD0675"/>
    <x v="220"/>
    <x v="2"/>
    <x v="0"/>
    <s v="Product_17"/>
    <n v="8"/>
    <n v="1157"/>
    <n v="9256"/>
    <n v="1693"/>
    <x v="1"/>
  </r>
  <r>
    <s v="ORD0676"/>
    <x v="272"/>
    <x v="2"/>
    <x v="0"/>
    <s v="Product_12"/>
    <n v="8"/>
    <n v="2288"/>
    <n v="18304"/>
    <n v="6203"/>
    <x v="3"/>
  </r>
  <r>
    <s v="ORD0677"/>
    <x v="25"/>
    <x v="2"/>
    <x v="2"/>
    <s v="Product_47"/>
    <n v="2"/>
    <n v="513"/>
    <n v="1026"/>
    <n v="171"/>
    <x v="3"/>
  </r>
  <r>
    <s v="ORD0678"/>
    <x v="207"/>
    <x v="2"/>
    <x v="4"/>
    <s v="Product_43"/>
    <n v="2"/>
    <n v="973"/>
    <n v="1946"/>
    <n v="506"/>
    <x v="3"/>
  </r>
  <r>
    <s v="ORD0679"/>
    <x v="24"/>
    <x v="0"/>
    <x v="3"/>
    <s v="Product_23"/>
    <n v="3"/>
    <n v="658"/>
    <n v="1974"/>
    <n v="364"/>
    <x v="2"/>
  </r>
  <r>
    <s v="ORD0680"/>
    <x v="148"/>
    <x v="3"/>
    <x v="4"/>
    <s v="Product_34"/>
    <n v="7"/>
    <n v="3770"/>
    <n v="26390"/>
    <n v="9692"/>
    <x v="2"/>
  </r>
  <r>
    <s v="ORD0681"/>
    <x v="244"/>
    <x v="0"/>
    <x v="3"/>
    <s v="Product_27"/>
    <n v="1"/>
    <n v="1104"/>
    <n v="1104"/>
    <n v="117"/>
    <x v="3"/>
  </r>
  <r>
    <s v="ORD0682"/>
    <x v="241"/>
    <x v="2"/>
    <x v="4"/>
    <s v="Product_44"/>
    <n v="2"/>
    <n v="695"/>
    <n v="1390"/>
    <n v="145"/>
    <x v="0"/>
  </r>
  <r>
    <s v="ORD0683"/>
    <x v="36"/>
    <x v="2"/>
    <x v="4"/>
    <s v="Product_21"/>
    <n v="5"/>
    <n v="875"/>
    <n v="4375"/>
    <n v="1477"/>
    <x v="2"/>
  </r>
  <r>
    <s v="ORD0684"/>
    <x v="119"/>
    <x v="2"/>
    <x v="0"/>
    <s v="Product_48"/>
    <n v="2"/>
    <n v="4236"/>
    <n v="8472"/>
    <n v="1428"/>
    <x v="1"/>
  </r>
  <r>
    <s v="ORD0685"/>
    <x v="308"/>
    <x v="2"/>
    <x v="0"/>
    <s v="Product_11"/>
    <n v="7"/>
    <n v="4493"/>
    <n v="31451"/>
    <n v="8571"/>
    <x v="0"/>
  </r>
  <r>
    <s v="ORD0686"/>
    <x v="109"/>
    <x v="3"/>
    <x v="0"/>
    <s v="Product_39"/>
    <n v="4"/>
    <n v="3066"/>
    <n v="12264"/>
    <n v="3707"/>
    <x v="1"/>
  </r>
  <r>
    <s v="ORD0687"/>
    <x v="280"/>
    <x v="3"/>
    <x v="4"/>
    <s v="Product_10"/>
    <n v="1"/>
    <n v="2986"/>
    <n v="2986"/>
    <n v="437"/>
    <x v="0"/>
  </r>
  <r>
    <s v="ORD0688"/>
    <x v="196"/>
    <x v="0"/>
    <x v="2"/>
    <s v="Product_48"/>
    <n v="6"/>
    <n v="915"/>
    <n v="5490"/>
    <n v="1734"/>
    <x v="2"/>
  </r>
  <r>
    <s v="ORD0689"/>
    <x v="309"/>
    <x v="3"/>
    <x v="4"/>
    <s v="Product_7"/>
    <n v="1"/>
    <n v="1423"/>
    <n v="1423"/>
    <n v="379"/>
    <x v="0"/>
  </r>
  <r>
    <s v="ORD0690"/>
    <x v="255"/>
    <x v="0"/>
    <x v="0"/>
    <s v="Product_22"/>
    <n v="1"/>
    <n v="4540"/>
    <n v="4540"/>
    <n v="1341"/>
    <x v="2"/>
  </r>
  <r>
    <s v="ORD0691"/>
    <x v="236"/>
    <x v="1"/>
    <x v="1"/>
    <s v="Product_49"/>
    <n v="9"/>
    <n v="3536"/>
    <n v="31824"/>
    <n v="12012"/>
    <x v="0"/>
  </r>
  <r>
    <s v="ORD0692"/>
    <x v="3"/>
    <x v="2"/>
    <x v="4"/>
    <s v="Product_28"/>
    <n v="3"/>
    <n v="2190"/>
    <n v="6570"/>
    <n v="925"/>
    <x v="3"/>
  </r>
  <r>
    <s v="ORD0693"/>
    <x v="16"/>
    <x v="0"/>
    <x v="0"/>
    <s v="Product_16"/>
    <n v="5"/>
    <n v="2715"/>
    <n v="13575"/>
    <n v="1406"/>
    <x v="1"/>
  </r>
  <r>
    <s v="ORD0694"/>
    <x v="163"/>
    <x v="0"/>
    <x v="4"/>
    <s v="Product_39"/>
    <n v="8"/>
    <n v="3734"/>
    <n v="29872"/>
    <n v="5290"/>
    <x v="1"/>
  </r>
  <r>
    <s v="ORD0695"/>
    <x v="69"/>
    <x v="3"/>
    <x v="1"/>
    <s v="Product_50"/>
    <n v="3"/>
    <n v="3496"/>
    <n v="10488"/>
    <n v="3874"/>
    <x v="2"/>
  </r>
  <r>
    <s v="ORD0696"/>
    <x v="119"/>
    <x v="0"/>
    <x v="1"/>
    <s v="Product_35"/>
    <n v="8"/>
    <n v="3812"/>
    <n v="30496"/>
    <n v="11684"/>
    <x v="0"/>
  </r>
  <r>
    <s v="ORD0697"/>
    <x v="115"/>
    <x v="0"/>
    <x v="3"/>
    <s v="Product_50"/>
    <n v="1"/>
    <n v="3492"/>
    <n v="3492"/>
    <n v="1114"/>
    <x v="3"/>
  </r>
  <r>
    <s v="ORD0698"/>
    <x v="182"/>
    <x v="0"/>
    <x v="3"/>
    <s v="Product_32"/>
    <n v="9"/>
    <n v="1361"/>
    <n v="12249"/>
    <n v="2876"/>
    <x v="3"/>
  </r>
  <r>
    <s v="ORD0699"/>
    <x v="59"/>
    <x v="1"/>
    <x v="4"/>
    <s v="Product_37"/>
    <n v="4"/>
    <n v="4870"/>
    <n v="19480"/>
    <n v="3416"/>
    <x v="3"/>
  </r>
  <r>
    <s v="ORD0700"/>
    <x v="156"/>
    <x v="3"/>
    <x v="3"/>
    <s v="Product_43"/>
    <n v="10"/>
    <n v="1834"/>
    <n v="18340"/>
    <n v="4875"/>
    <x v="0"/>
  </r>
  <r>
    <s v="ORD0701"/>
    <x v="130"/>
    <x v="2"/>
    <x v="2"/>
    <s v="Product_38"/>
    <n v="2"/>
    <n v="3587"/>
    <n v="7174"/>
    <n v="1526"/>
    <x v="0"/>
  </r>
  <r>
    <s v="ORD0702"/>
    <x v="76"/>
    <x v="2"/>
    <x v="4"/>
    <s v="Product_23"/>
    <n v="1"/>
    <n v="1743"/>
    <n v="1743"/>
    <n v="331"/>
    <x v="1"/>
  </r>
  <r>
    <s v="ORD0703"/>
    <x v="255"/>
    <x v="1"/>
    <x v="2"/>
    <s v="Product_9"/>
    <n v="3"/>
    <n v="1966"/>
    <n v="5898"/>
    <n v="1306"/>
    <x v="1"/>
  </r>
  <r>
    <s v="ORD0704"/>
    <x v="310"/>
    <x v="1"/>
    <x v="1"/>
    <s v="Product_34"/>
    <n v="8"/>
    <n v="1331"/>
    <n v="10648"/>
    <n v="3646"/>
    <x v="3"/>
  </r>
  <r>
    <s v="ORD0705"/>
    <x v="144"/>
    <x v="2"/>
    <x v="1"/>
    <s v="Product_22"/>
    <n v="4"/>
    <n v="3751"/>
    <n v="15004"/>
    <n v="1599"/>
    <x v="3"/>
  </r>
  <r>
    <s v="ORD0706"/>
    <x v="201"/>
    <x v="0"/>
    <x v="3"/>
    <s v="Product_29"/>
    <n v="6"/>
    <n v="626"/>
    <n v="3756"/>
    <n v="379"/>
    <x v="0"/>
  </r>
  <r>
    <s v="ORD0707"/>
    <x v="208"/>
    <x v="2"/>
    <x v="3"/>
    <s v="Product_21"/>
    <n v="4"/>
    <n v="2157"/>
    <n v="8628"/>
    <n v="1879"/>
    <x v="0"/>
  </r>
  <r>
    <s v="ORD0708"/>
    <x v="108"/>
    <x v="1"/>
    <x v="0"/>
    <s v="Product_31"/>
    <n v="9"/>
    <n v="4492"/>
    <n v="40428"/>
    <n v="14218"/>
    <x v="0"/>
  </r>
  <r>
    <s v="ORD0709"/>
    <x v="277"/>
    <x v="1"/>
    <x v="1"/>
    <s v="Product_11"/>
    <n v="2"/>
    <n v="1696"/>
    <n v="3392"/>
    <n v="1310"/>
    <x v="2"/>
  </r>
  <r>
    <s v="ORD0710"/>
    <x v="302"/>
    <x v="2"/>
    <x v="3"/>
    <s v="Product_45"/>
    <n v="10"/>
    <n v="4396"/>
    <n v="43960"/>
    <n v="6965"/>
    <x v="3"/>
  </r>
  <r>
    <s v="ORD0711"/>
    <x v="271"/>
    <x v="2"/>
    <x v="4"/>
    <s v="Product_38"/>
    <n v="3"/>
    <n v="3329"/>
    <n v="9987"/>
    <n v="1725"/>
    <x v="2"/>
  </r>
  <r>
    <s v="ORD0712"/>
    <x v="173"/>
    <x v="0"/>
    <x v="2"/>
    <s v="Product_50"/>
    <n v="7"/>
    <n v="3108"/>
    <n v="21756"/>
    <n v="7917"/>
    <x v="0"/>
  </r>
  <r>
    <s v="ORD0713"/>
    <x v="311"/>
    <x v="0"/>
    <x v="3"/>
    <s v="Product_21"/>
    <n v="10"/>
    <n v="1295"/>
    <n v="12950"/>
    <n v="3932"/>
    <x v="2"/>
  </r>
  <r>
    <s v="ORD0714"/>
    <x v="48"/>
    <x v="2"/>
    <x v="0"/>
    <s v="Product_37"/>
    <n v="7"/>
    <n v="4681"/>
    <n v="32767"/>
    <n v="6785"/>
    <x v="2"/>
  </r>
  <r>
    <s v="ORD0715"/>
    <x v="26"/>
    <x v="2"/>
    <x v="2"/>
    <s v="Product_24"/>
    <n v="8"/>
    <n v="4915"/>
    <n v="39320"/>
    <n v="7753"/>
    <x v="0"/>
  </r>
  <r>
    <s v="ORD0716"/>
    <x v="133"/>
    <x v="1"/>
    <x v="2"/>
    <s v="Product_38"/>
    <n v="3"/>
    <n v="2666"/>
    <n v="7998"/>
    <n v="2754"/>
    <x v="0"/>
  </r>
  <r>
    <s v="ORD0717"/>
    <x v="218"/>
    <x v="0"/>
    <x v="3"/>
    <s v="Product_41"/>
    <n v="4"/>
    <n v="2930"/>
    <n v="11720"/>
    <n v="2864"/>
    <x v="2"/>
  </r>
  <r>
    <s v="ORD0718"/>
    <x v="2"/>
    <x v="1"/>
    <x v="3"/>
    <s v="Product_9"/>
    <n v="5"/>
    <n v="4865"/>
    <n v="24325"/>
    <n v="3603"/>
    <x v="2"/>
  </r>
  <r>
    <s v="ORD0719"/>
    <x v="293"/>
    <x v="3"/>
    <x v="0"/>
    <s v="Product_1"/>
    <n v="8"/>
    <n v="4517"/>
    <n v="36136"/>
    <n v="7417"/>
    <x v="0"/>
  </r>
  <r>
    <s v="ORD0720"/>
    <x v="291"/>
    <x v="2"/>
    <x v="4"/>
    <s v="Product_24"/>
    <n v="3"/>
    <n v="1542"/>
    <n v="4626"/>
    <n v="590"/>
    <x v="2"/>
  </r>
  <r>
    <s v="ORD0721"/>
    <x v="299"/>
    <x v="3"/>
    <x v="3"/>
    <s v="Product_34"/>
    <n v="6"/>
    <n v="3024"/>
    <n v="18144"/>
    <n v="3348"/>
    <x v="0"/>
  </r>
  <r>
    <s v="ORD0722"/>
    <x v="205"/>
    <x v="2"/>
    <x v="3"/>
    <s v="Product_3"/>
    <n v="1"/>
    <n v="3909"/>
    <n v="3909"/>
    <n v="1395"/>
    <x v="1"/>
  </r>
  <r>
    <s v="ORD0723"/>
    <x v="238"/>
    <x v="1"/>
    <x v="1"/>
    <s v="Product_37"/>
    <n v="7"/>
    <n v="1626"/>
    <n v="11382"/>
    <n v="3241"/>
    <x v="3"/>
  </r>
  <r>
    <s v="ORD0724"/>
    <x v="200"/>
    <x v="3"/>
    <x v="0"/>
    <s v="Product_18"/>
    <n v="2"/>
    <n v="4638"/>
    <n v="9276"/>
    <n v="957"/>
    <x v="0"/>
  </r>
  <r>
    <s v="ORD0725"/>
    <x v="261"/>
    <x v="1"/>
    <x v="2"/>
    <s v="Product_5"/>
    <n v="7"/>
    <n v="569"/>
    <n v="3983"/>
    <n v="577"/>
    <x v="0"/>
  </r>
  <r>
    <s v="ORD0726"/>
    <x v="161"/>
    <x v="1"/>
    <x v="4"/>
    <s v="Product_16"/>
    <n v="6"/>
    <n v="3791"/>
    <n v="22746"/>
    <n v="8659"/>
    <x v="3"/>
  </r>
  <r>
    <s v="ORD0727"/>
    <x v="312"/>
    <x v="0"/>
    <x v="1"/>
    <s v="Product_3"/>
    <n v="1"/>
    <n v="1763"/>
    <n v="1763"/>
    <n v="499"/>
    <x v="3"/>
  </r>
  <r>
    <s v="ORD0728"/>
    <x v="179"/>
    <x v="3"/>
    <x v="3"/>
    <s v="Product_24"/>
    <n v="6"/>
    <n v="4999"/>
    <n v="29994"/>
    <n v="4356"/>
    <x v="0"/>
  </r>
  <r>
    <s v="ORD0729"/>
    <x v="232"/>
    <x v="2"/>
    <x v="2"/>
    <s v="Product_18"/>
    <n v="5"/>
    <n v="937"/>
    <n v="4685"/>
    <n v="982"/>
    <x v="2"/>
  </r>
  <r>
    <s v="ORD0730"/>
    <x v="313"/>
    <x v="3"/>
    <x v="3"/>
    <s v="Product_6"/>
    <n v="7"/>
    <n v="4843"/>
    <n v="33901"/>
    <n v="12922"/>
    <x v="1"/>
  </r>
  <r>
    <s v="ORD0731"/>
    <x v="218"/>
    <x v="1"/>
    <x v="0"/>
    <s v="Product_42"/>
    <n v="8"/>
    <n v="1258"/>
    <n v="10064"/>
    <n v="3777"/>
    <x v="0"/>
  </r>
  <r>
    <s v="ORD0732"/>
    <x v="141"/>
    <x v="1"/>
    <x v="0"/>
    <s v="Product_33"/>
    <n v="10"/>
    <n v="1393"/>
    <n v="13930"/>
    <n v="1880"/>
    <x v="2"/>
  </r>
  <r>
    <s v="ORD0733"/>
    <x v="314"/>
    <x v="1"/>
    <x v="4"/>
    <s v="Product_14"/>
    <n v="4"/>
    <n v="654"/>
    <n v="2616"/>
    <n v="465"/>
    <x v="0"/>
  </r>
  <r>
    <s v="ORD0734"/>
    <x v="290"/>
    <x v="1"/>
    <x v="1"/>
    <s v="Product_50"/>
    <n v="9"/>
    <n v="1039"/>
    <n v="9351"/>
    <n v="1650"/>
    <x v="2"/>
  </r>
  <r>
    <s v="ORD0735"/>
    <x v="113"/>
    <x v="1"/>
    <x v="2"/>
    <s v="Product_21"/>
    <n v="4"/>
    <n v="775"/>
    <n v="3100"/>
    <n v="322"/>
    <x v="0"/>
  </r>
  <r>
    <s v="ORD0736"/>
    <x v="16"/>
    <x v="3"/>
    <x v="1"/>
    <s v="Product_3"/>
    <n v="9"/>
    <n v="1597"/>
    <n v="14373"/>
    <n v="2774"/>
    <x v="2"/>
  </r>
  <r>
    <s v="ORD0737"/>
    <x v="315"/>
    <x v="2"/>
    <x v="0"/>
    <s v="Product_33"/>
    <n v="9"/>
    <n v="3729"/>
    <n v="33561"/>
    <n v="7907"/>
    <x v="0"/>
  </r>
  <r>
    <s v="ORD0738"/>
    <x v="45"/>
    <x v="2"/>
    <x v="0"/>
    <s v="Product_48"/>
    <n v="1"/>
    <n v="4319"/>
    <n v="4319"/>
    <n v="994"/>
    <x v="2"/>
  </r>
  <r>
    <s v="ORD0739"/>
    <x v="39"/>
    <x v="2"/>
    <x v="2"/>
    <s v="Product_7"/>
    <n v="5"/>
    <n v="3239"/>
    <n v="16195"/>
    <n v="6327"/>
    <x v="2"/>
  </r>
  <r>
    <s v="ORD0740"/>
    <x v="222"/>
    <x v="3"/>
    <x v="0"/>
    <s v="Product_26"/>
    <n v="9"/>
    <n v="1628"/>
    <n v="14652"/>
    <n v="1542"/>
    <x v="3"/>
  </r>
  <r>
    <s v="ORD0741"/>
    <x v="16"/>
    <x v="3"/>
    <x v="3"/>
    <s v="Product_38"/>
    <n v="7"/>
    <n v="2156"/>
    <n v="15092"/>
    <n v="4769"/>
    <x v="0"/>
  </r>
  <r>
    <s v="ORD0742"/>
    <x v="316"/>
    <x v="2"/>
    <x v="3"/>
    <s v="Product_50"/>
    <n v="1"/>
    <n v="3416"/>
    <n v="3416"/>
    <n v="731"/>
    <x v="0"/>
  </r>
  <r>
    <s v="ORD0743"/>
    <x v="146"/>
    <x v="3"/>
    <x v="3"/>
    <s v="Product_15"/>
    <n v="6"/>
    <n v="4514"/>
    <n v="27084"/>
    <n v="7247"/>
    <x v="3"/>
  </r>
  <r>
    <s v="ORD0744"/>
    <x v="197"/>
    <x v="2"/>
    <x v="2"/>
    <s v="Product_34"/>
    <n v="1"/>
    <n v="3320"/>
    <n v="3320"/>
    <n v="1265"/>
    <x v="0"/>
  </r>
  <r>
    <s v="ORD0745"/>
    <x v="214"/>
    <x v="0"/>
    <x v="2"/>
    <s v="Product_11"/>
    <n v="10"/>
    <n v="2246"/>
    <n v="22460"/>
    <n v="4575"/>
    <x v="0"/>
  </r>
  <r>
    <s v="ORD0746"/>
    <x v="3"/>
    <x v="3"/>
    <x v="3"/>
    <s v="Product_33"/>
    <n v="2"/>
    <n v="4569"/>
    <n v="9138"/>
    <n v="1532"/>
    <x v="0"/>
  </r>
  <r>
    <s v="ORD0747"/>
    <x v="131"/>
    <x v="3"/>
    <x v="1"/>
    <s v="Product_11"/>
    <n v="4"/>
    <n v="2301"/>
    <n v="9204"/>
    <n v="3584"/>
    <x v="3"/>
  </r>
  <r>
    <s v="ORD0748"/>
    <x v="271"/>
    <x v="2"/>
    <x v="4"/>
    <s v="Product_26"/>
    <n v="2"/>
    <n v="3172"/>
    <n v="6344"/>
    <n v="713"/>
    <x v="1"/>
  </r>
  <r>
    <s v="ORD0749"/>
    <x v="75"/>
    <x v="3"/>
    <x v="3"/>
    <s v="Product_15"/>
    <n v="7"/>
    <n v="4526"/>
    <n v="31682"/>
    <n v="5860"/>
    <x v="3"/>
  </r>
  <r>
    <s v="ORD0750"/>
    <x v="30"/>
    <x v="1"/>
    <x v="4"/>
    <s v="Product_45"/>
    <n v="8"/>
    <n v="4559"/>
    <n v="36472"/>
    <n v="14500"/>
    <x v="3"/>
  </r>
  <r>
    <s v="ORD0751"/>
    <x v="112"/>
    <x v="0"/>
    <x v="4"/>
    <s v="Product_11"/>
    <n v="6"/>
    <n v="3033"/>
    <n v="18198"/>
    <n v="5984"/>
    <x v="3"/>
  </r>
  <r>
    <s v="ORD0752"/>
    <x v="158"/>
    <x v="0"/>
    <x v="3"/>
    <s v="Product_14"/>
    <n v="4"/>
    <n v="2530"/>
    <n v="10120"/>
    <n v="3107"/>
    <x v="0"/>
  </r>
  <r>
    <s v="ORD0753"/>
    <x v="121"/>
    <x v="0"/>
    <x v="3"/>
    <s v="Product_37"/>
    <n v="7"/>
    <n v="2834"/>
    <n v="19838"/>
    <n v="4993"/>
    <x v="0"/>
  </r>
  <r>
    <s v="ORD0754"/>
    <x v="317"/>
    <x v="2"/>
    <x v="0"/>
    <s v="Product_9"/>
    <n v="4"/>
    <n v="2899"/>
    <n v="11596"/>
    <n v="2868"/>
    <x v="0"/>
  </r>
  <r>
    <s v="ORD0755"/>
    <x v="318"/>
    <x v="0"/>
    <x v="0"/>
    <s v="Product_14"/>
    <n v="2"/>
    <n v="2552"/>
    <n v="5104"/>
    <n v="1873"/>
    <x v="2"/>
  </r>
  <r>
    <s v="ORD0756"/>
    <x v="125"/>
    <x v="2"/>
    <x v="3"/>
    <s v="Product_15"/>
    <n v="8"/>
    <n v="3713"/>
    <n v="29704"/>
    <n v="11513"/>
    <x v="3"/>
  </r>
  <r>
    <s v="ORD0757"/>
    <x v="138"/>
    <x v="3"/>
    <x v="2"/>
    <s v="Product_24"/>
    <n v="10"/>
    <n v="4084"/>
    <n v="40840"/>
    <n v="4427"/>
    <x v="3"/>
  </r>
  <r>
    <s v="ORD0758"/>
    <x v="66"/>
    <x v="1"/>
    <x v="0"/>
    <s v="Product_39"/>
    <n v="7"/>
    <n v="3750"/>
    <n v="26250"/>
    <n v="6739"/>
    <x v="0"/>
  </r>
  <r>
    <s v="ORD0759"/>
    <x v="283"/>
    <x v="0"/>
    <x v="3"/>
    <s v="Product_32"/>
    <n v="2"/>
    <n v="1536"/>
    <n v="3072"/>
    <n v="1132"/>
    <x v="2"/>
  </r>
  <r>
    <s v="ORD0760"/>
    <x v="150"/>
    <x v="3"/>
    <x v="3"/>
    <s v="Product_32"/>
    <n v="5"/>
    <n v="3747"/>
    <n v="18735"/>
    <n v="7397"/>
    <x v="1"/>
  </r>
  <r>
    <s v="ORD0761"/>
    <x v="37"/>
    <x v="0"/>
    <x v="4"/>
    <s v="Product_27"/>
    <n v="8"/>
    <n v="2442"/>
    <n v="19536"/>
    <n v="3364"/>
    <x v="0"/>
  </r>
  <r>
    <s v="ORD0762"/>
    <x v="288"/>
    <x v="3"/>
    <x v="1"/>
    <s v="Product_26"/>
    <n v="1"/>
    <n v="4463"/>
    <n v="4463"/>
    <n v="1559"/>
    <x v="2"/>
  </r>
  <r>
    <s v="ORD0763"/>
    <x v="319"/>
    <x v="3"/>
    <x v="4"/>
    <s v="Product_41"/>
    <n v="1"/>
    <n v="4164"/>
    <n v="4164"/>
    <n v="1350"/>
    <x v="0"/>
  </r>
  <r>
    <s v="ORD0764"/>
    <x v="208"/>
    <x v="3"/>
    <x v="3"/>
    <s v="Product_34"/>
    <n v="9"/>
    <n v="610"/>
    <n v="5490"/>
    <n v="1044"/>
    <x v="1"/>
  </r>
  <r>
    <s v="ORD0765"/>
    <x v="191"/>
    <x v="0"/>
    <x v="0"/>
    <s v="Product_47"/>
    <n v="5"/>
    <n v="1016"/>
    <n v="5080"/>
    <n v="799"/>
    <x v="1"/>
  </r>
  <r>
    <s v="ORD0766"/>
    <x v="320"/>
    <x v="2"/>
    <x v="1"/>
    <s v="Product_24"/>
    <n v="5"/>
    <n v="4903"/>
    <n v="24515"/>
    <n v="3112"/>
    <x v="0"/>
  </r>
  <r>
    <s v="ORD0767"/>
    <x v="155"/>
    <x v="1"/>
    <x v="4"/>
    <s v="Product_13"/>
    <n v="1"/>
    <n v="2226"/>
    <n v="2226"/>
    <n v="630"/>
    <x v="1"/>
  </r>
  <r>
    <s v="ORD0768"/>
    <x v="302"/>
    <x v="2"/>
    <x v="2"/>
    <s v="Product_11"/>
    <n v="5"/>
    <n v="4966"/>
    <n v="24830"/>
    <n v="9418"/>
    <x v="1"/>
  </r>
  <r>
    <s v="ORD0769"/>
    <x v="242"/>
    <x v="2"/>
    <x v="0"/>
    <s v="Product_47"/>
    <n v="3"/>
    <n v="1093"/>
    <n v="3279"/>
    <n v="1059"/>
    <x v="3"/>
  </r>
  <r>
    <s v="ORD0770"/>
    <x v="93"/>
    <x v="2"/>
    <x v="3"/>
    <s v="Product_33"/>
    <n v="9"/>
    <n v="908"/>
    <n v="8172"/>
    <n v="2910"/>
    <x v="1"/>
  </r>
  <r>
    <s v="ORD0771"/>
    <x v="81"/>
    <x v="2"/>
    <x v="0"/>
    <s v="Product_44"/>
    <n v="5"/>
    <n v="3002"/>
    <n v="15010"/>
    <n v="5786"/>
    <x v="1"/>
  </r>
  <r>
    <s v="ORD0772"/>
    <x v="220"/>
    <x v="3"/>
    <x v="0"/>
    <s v="Product_13"/>
    <n v="6"/>
    <n v="4972"/>
    <n v="29832"/>
    <n v="3954"/>
    <x v="3"/>
  </r>
  <r>
    <s v="ORD0773"/>
    <x v="152"/>
    <x v="2"/>
    <x v="2"/>
    <s v="Product_13"/>
    <n v="1"/>
    <n v="3905"/>
    <n v="3905"/>
    <n v="1365"/>
    <x v="1"/>
  </r>
  <r>
    <s v="ORD0774"/>
    <x v="220"/>
    <x v="3"/>
    <x v="4"/>
    <s v="Product_28"/>
    <n v="3"/>
    <n v="3678"/>
    <n v="11034"/>
    <n v="4252"/>
    <x v="3"/>
  </r>
  <r>
    <s v="ORD0775"/>
    <x v="12"/>
    <x v="0"/>
    <x v="3"/>
    <s v="Product_47"/>
    <n v="10"/>
    <n v="4391"/>
    <n v="43910"/>
    <n v="15454"/>
    <x v="0"/>
  </r>
  <r>
    <s v="ORD0776"/>
    <x v="297"/>
    <x v="1"/>
    <x v="1"/>
    <s v="Product_49"/>
    <n v="10"/>
    <n v="1261"/>
    <n v="12610"/>
    <n v="4095"/>
    <x v="3"/>
  </r>
  <r>
    <s v="ORD0777"/>
    <x v="321"/>
    <x v="3"/>
    <x v="4"/>
    <s v="Product_32"/>
    <n v="1"/>
    <n v="1666"/>
    <n v="1666"/>
    <n v="276"/>
    <x v="1"/>
  </r>
  <r>
    <s v="ORD0778"/>
    <x v="133"/>
    <x v="0"/>
    <x v="1"/>
    <s v="Product_39"/>
    <n v="7"/>
    <n v="4125"/>
    <n v="28875"/>
    <n v="4154"/>
    <x v="2"/>
  </r>
  <r>
    <s v="ORD0779"/>
    <x v="28"/>
    <x v="1"/>
    <x v="1"/>
    <s v="Product_49"/>
    <n v="5"/>
    <n v="2449"/>
    <n v="12245"/>
    <n v="3934"/>
    <x v="0"/>
  </r>
  <r>
    <s v="ORD0780"/>
    <x v="225"/>
    <x v="1"/>
    <x v="1"/>
    <s v="Product_36"/>
    <n v="5"/>
    <n v="2916"/>
    <n v="14580"/>
    <n v="2435"/>
    <x v="1"/>
  </r>
  <r>
    <s v="ORD0781"/>
    <x v="234"/>
    <x v="0"/>
    <x v="3"/>
    <s v="Product_50"/>
    <n v="5"/>
    <n v="1306"/>
    <n v="6530"/>
    <n v="1204"/>
    <x v="0"/>
  </r>
  <r>
    <s v="ORD0782"/>
    <x v="230"/>
    <x v="2"/>
    <x v="1"/>
    <s v="Product_2"/>
    <n v="2"/>
    <n v="3628"/>
    <n v="7256"/>
    <n v="794"/>
    <x v="1"/>
  </r>
  <r>
    <s v="ORD0783"/>
    <x v="150"/>
    <x v="0"/>
    <x v="4"/>
    <s v="Product_21"/>
    <n v="10"/>
    <n v="3527"/>
    <n v="35270"/>
    <n v="10674"/>
    <x v="1"/>
  </r>
  <r>
    <s v="ORD0784"/>
    <x v="148"/>
    <x v="3"/>
    <x v="0"/>
    <s v="Product_7"/>
    <n v="9"/>
    <n v="4776"/>
    <n v="42984"/>
    <n v="7968"/>
    <x v="1"/>
  </r>
  <r>
    <s v="ORD0785"/>
    <x v="2"/>
    <x v="2"/>
    <x v="1"/>
    <s v="Product_29"/>
    <n v="10"/>
    <n v="1846"/>
    <n v="18460"/>
    <n v="6324"/>
    <x v="1"/>
  </r>
  <r>
    <s v="ORD0786"/>
    <x v="126"/>
    <x v="1"/>
    <x v="1"/>
    <s v="Product_30"/>
    <n v="1"/>
    <n v="1899"/>
    <n v="1899"/>
    <n v="473"/>
    <x v="2"/>
  </r>
  <r>
    <s v="ORD0787"/>
    <x v="226"/>
    <x v="1"/>
    <x v="4"/>
    <s v="Product_14"/>
    <n v="1"/>
    <n v="4541"/>
    <n v="4541"/>
    <n v="566"/>
    <x v="0"/>
  </r>
  <r>
    <s v="ORD0788"/>
    <x v="139"/>
    <x v="3"/>
    <x v="0"/>
    <s v="Product_15"/>
    <n v="8"/>
    <n v="668"/>
    <n v="5344"/>
    <n v="714"/>
    <x v="1"/>
  </r>
  <r>
    <s v="ORD0789"/>
    <x v="322"/>
    <x v="3"/>
    <x v="4"/>
    <s v="Product_33"/>
    <n v="8"/>
    <n v="3089"/>
    <n v="24712"/>
    <n v="3113"/>
    <x v="2"/>
  </r>
  <r>
    <s v="ORD0790"/>
    <x v="76"/>
    <x v="3"/>
    <x v="0"/>
    <s v="Product_44"/>
    <n v="10"/>
    <n v="555"/>
    <n v="5550"/>
    <n v="1054"/>
    <x v="1"/>
  </r>
  <r>
    <s v="ORD0791"/>
    <x v="208"/>
    <x v="0"/>
    <x v="3"/>
    <s v="Product_35"/>
    <n v="7"/>
    <n v="2482"/>
    <n v="17374"/>
    <n v="3800"/>
    <x v="2"/>
  </r>
  <r>
    <s v="ORD0792"/>
    <x v="174"/>
    <x v="1"/>
    <x v="2"/>
    <s v="Product_44"/>
    <n v="6"/>
    <n v="1244"/>
    <n v="7464"/>
    <n v="1665"/>
    <x v="2"/>
  </r>
  <r>
    <s v="ORD0793"/>
    <x v="248"/>
    <x v="0"/>
    <x v="2"/>
    <s v="Product_49"/>
    <n v="3"/>
    <n v="2281"/>
    <n v="6843"/>
    <n v="816"/>
    <x v="3"/>
  </r>
  <r>
    <s v="ORD0794"/>
    <x v="244"/>
    <x v="3"/>
    <x v="4"/>
    <s v="Product_38"/>
    <n v="8"/>
    <n v="3959"/>
    <n v="31672"/>
    <n v="7991"/>
    <x v="3"/>
  </r>
  <r>
    <s v="ORD0795"/>
    <x v="121"/>
    <x v="0"/>
    <x v="3"/>
    <s v="Product_3"/>
    <n v="3"/>
    <n v="2521"/>
    <n v="7563"/>
    <n v="1172"/>
    <x v="3"/>
  </r>
  <r>
    <s v="ORD0796"/>
    <x v="217"/>
    <x v="0"/>
    <x v="0"/>
    <s v="Product_39"/>
    <n v="1"/>
    <n v="1822"/>
    <n v="1822"/>
    <n v="702"/>
    <x v="3"/>
  </r>
  <r>
    <s v="ORD0797"/>
    <x v="81"/>
    <x v="3"/>
    <x v="2"/>
    <s v="Product_36"/>
    <n v="9"/>
    <n v="1340"/>
    <n v="12060"/>
    <n v="3749"/>
    <x v="3"/>
  </r>
  <r>
    <s v="ORD0798"/>
    <x v="117"/>
    <x v="1"/>
    <x v="1"/>
    <s v="Product_1"/>
    <n v="6"/>
    <n v="2943"/>
    <n v="17658"/>
    <n v="1778"/>
    <x v="0"/>
  </r>
  <r>
    <s v="ORD0799"/>
    <x v="190"/>
    <x v="2"/>
    <x v="0"/>
    <s v="Product_19"/>
    <n v="2"/>
    <n v="1895"/>
    <n v="3790"/>
    <n v="1278"/>
    <x v="0"/>
  </r>
  <r>
    <s v="ORD0800"/>
    <x v="296"/>
    <x v="1"/>
    <x v="2"/>
    <s v="Product_42"/>
    <n v="4"/>
    <n v="3656"/>
    <n v="14624"/>
    <n v="2406"/>
    <x v="2"/>
  </r>
  <r>
    <s v="ORD0801"/>
    <x v="81"/>
    <x v="0"/>
    <x v="4"/>
    <s v="Product_30"/>
    <n v="9"/>
    <n v="1861"/>
    <n v="16749"/>
    <n v="2280"/>
    <x v="3"/>
  </r>
  <r>
    <s v="ORD0802"/>
    <x v="34"/>
    <x v="2"/>
    <x v="4"/>
    <s v="Product_39"/>
    <n v="2"/>
    <n v="2548"/>
    <n v="5096"/>
    <n v="1343"/>
    <x v="2"/>
  </r>
  <r>
    <s v="ORD0803"/>
    <x v="92"/>
    <x v="3"/>
    <x v="0"/>
    <s v="Product_46"/>
    <n v="7"/>
    <n v="4599"/>
    <n v="32193"/>
    <n v="8442"/>
    <x v="1"/>
  </r>
  <r>
    <s v="ORD0804"/>
    <x v="323"/>
    <x v="2"/>
    <x v="1"/>
    <s v="Product_26"/>
    <n v="2"/>
    <n v="1096"/>
    <n v="2192"/>
    <n v="401"/>
    <x v="1"/>
  </r>
  <r>
    <s v="ORD0805"/>
    <x v="23"/>
    <x v="1"/>
    <x v="0"/>
    <s v="Product_41"/>
    <n v="5"/>
    <n v="1784"/>
    <n v="8920"/>
    <n v="2818"/>
    <x v="3"/>
  </r>
  <r>
    <s v="ORD0806"/>
    <x v="324"/>
    <x v="2"/>
    <x v="0"/>
    <s v="Product_1"/>
    <n v="5"/>
    <n v="791"/>
    <n v="3955"/>
    <n v="818"/>
    <x v="1"/>
  </r>
  <r>
    <s v="ORD0807"/>
    <x v="204"/>
    <x v="1"/>
    <x v="2"/>
    <s v="Product_27"/>
    <n v="3"/>
    <n v="4873"/>
    <n v="14619"/>
    <n v="4502"/>
    <x v="3"/>
  </r>
  <r>
    <s v="ORD0808"/>
    <x v="202"/>
    <x v="1"/>
    <x v="1"/>
    <s v="Product_24"/>
    <n v="7"/>
    <n v="3502"/>
    <n v="24514"/>
    <n v="4744"/>
    <x v="3"/>
  </r>
  <r>
    <s v="ORD0809"/>
    <x v="115"/>
    <x v="2"/>
    <x v="3"/>
    <s v="Product_35"/>
    <n v="8"/>
    <n v="2365"/>
    <n v="18920"/>
    <n v="5261"/>
    <x v="3"/>
  </r>
  <r>
    <s v="ORD0810"/>
    <x v="45"/>
    <x v="2"/>
    <x v="2"/>
    <s v="Product_10"/>
    <n v="3"/>
    <n v="1644"/>
    <n v="4932"/>
    <n v="1354"/>
    <x v="2"/>
  </r>
  <r>
    <s v="ORD0811"/>
    <x v="194"/>
    <x v="3"/>
    <x v="1"/>
    <s v="Product_33"/>
    <n v="7"/>
    <n v="823"/>
    <n v="5761"/>
    <n v="1731"/>
    <x v="1"/>
  </r>
  <r>
    <s v="ORD0812"/>
    <x v="115"/>
    <x v="0"/>
    <x v="2"/>
    <s v="Product_30"/>
    <n v="7"/>
    <n v="4386"/>
    <n v="30702"/>
    <n v="7578"/>
    <x v="3"/>
  </r>
  <r>
    <s v="ORD0813"/>
    <x v="315"/>
    <x v="1"/>
    <x v="0"/>
    <s v="Product_2"/>
    <n v="10"/>
    <n v="1526"/>
    <n v="15260"/>
    <n v="4007"/>
    <x v="2"/>
  </r>
  <r>
    <s v="ORD0814"/>
    <x v="109"/>
    <x v="2"/>
    <x v="0"/>
    <s v="Product_11"/>
    <n v="3"/>
    <n v="1038"/>
    <n v="3114"/>
    <n v="578"/>
    <x v="1"/>
  </r>
  <r>
    <s v="ORD0815"/>
    <x v="325"/>
    <x v="2"/>
    <x v="1"/>
    <s v="Product_40"/>
    <n v="3"/>
    <n v="1472"/>
    <n v="4416"/>
    <n v="1017"/>
    <x v="3"/>
  </r>
  <r>
    <s v="ORD0816"/>
    <x v="162"/>
    <x v="1"/>
    <x v="0"/>
    <s v="Product_8"/>
    <n v="2"/>
    <n v="1528"/>
    <n v="3056"/>
    <n v="525"/>
    <x v="0"/>
  </r>
  <r>
    <s v="ORD0817"/>
    <x v="238"/>
    <x v="0"/>
    <x v="1"/>
    <s v="Product_25"/>
    <n v="5"/>
    <n v="2538"/>
    <n v="12690"/>
    <n v="4140"/>
    <x v="0"/>
  </r>
  <r>
    <s v="ORD0818"/>
    <x v="194"/>
    <x v="0"/>
    <x v="4"/>
    <s v="Product_50"/>
    <n v="5"/>
    <n v="4517"/>
    <n v="22585"/>
    <n v="6260"/>
    <x v="0"/>
  </r>
  <r>
    <s v="ORD0819"/>
    <x v="301"/>
    <x v="1"/>
    <x v="1"/>
    <s v="Product_7"/>
    <n v="9"/>
    <n v="518"/>
    <n v="4662"/>
    <n v="1120"/>
    <x v="1"/>
  </r>
  <r>
    <s v="ORD0820"/>
    <x v="203"/>
    <x v="2"/>
    <x v="4"/>
    <s v="Product_41"/>
    <n v="9"/>
    <n v="3869"/>
    <n v="34821"/>
    <n v="11192"/>
    <x v="0"/>
  </r>
  <r>
    <s v="ORD0821"/>
    <x v="163"/>
    <x v="1"/>
    <x v="2"/>
    <s v="Product_37"/>
    <n v="10"/>
    <n v="2921"/>
    <n v="29210"/>
    <n v="10675"/>
    <x v="2"/>
  </r>
  <r>
    <s v="ORD0822"/>
    <x v="54"/>
    <x v="3"/>
    <x v="2"/>
    <s v="Product_6"/>
    <n v="5"/>
    <n v="3593"/>
    <n v="17965"/>
    <n v="2429"/>
    <x v="3"/>
  </r>
  <r>
    <s v="ORD0823"/>
    <x v="109"/>
    <x v="1"/>
    <x v="4"/>
    <s v="Product_18"/>
    <n v="10"/>
    <n v="1518"/>
    <n v="15180"/>
    <n v="3741"/>
    <x v="3"/>
  </r>
  <r>
    <s v="ORD0824"/>
    <x v="265"/>
    <x v="2"/>
    <x v="2"/>
    <s v="Product_45"/>
    <n v="8"/>
    <n v="1968"/>
    <n v="15744"/>
    <n v="4380"/>
    <x v="1"/>
  </r>
  <r>
    <s v="ORD0825"/>
    <x v="68"/>
    <x v="0"/>
    <x v="3"/>
    <s v="Product_16"/>
    <n v="1"/>
    <n v="3916"/>
    <n v="3916"/>
    <n v="1269"/>
    <x v="1"/>
  </r>
  <r>
    <s v="ORD0826"/>
    <x v="309"/>
    <x v="0"/>
    <x v="0"/>
    <s v="Product_22"/>
    <n v="8"/>
    <n v="4785"/>
    <n v="38280"/>
    <n v="4667"/>
    <x v="1"/>
  </r>
  <r>
    <s v="ORD0827"/>
    <x v="239"/>
    <x v="1"/>
    <x v="1"/>
    <s v="Product_39"/>
    <n v="7"/>
    <n v="545"/>
    <n v="3815"/>
    <n v="512"/>
    <x v="3"/>
  </r>
  <r>
    <s v="ORD0828"/>
    <x v="108"/>
    <x v="2"/>
    <x v="3"/>
    <s v="Product_46"/>
    <n v="3"/>
    <n v="4739"/>
    <n v="14217"/>
    <n v="2848"/>
    <x v="2"/>
  </r>
  <r>
    <s v="ORD0829"/>
    <x v="248"/>
    <x v="3"/>
    <x v="2"/>
    <s v="Product_19"/>
    <n v="10"/>
    <n v="3416"/>
    <n v="34160"/>
    <n v="4465"/>
    <x v="0"/>
  </r>
  <r>
    <s v="ORD0830"/>
    <x v="35"/>
    <x v="0"/>
    <x v="3"/>
    <s v="Product_37"/>
    <n v="6"/>
    <n v="4939"/>
    <n v="29634"/>
    <n v="4768"/>
    <x v="0"/>
  </r>
  <r>
    <s v="ORD0831"/>
    <x v="106"/>
    <x v="1"/>
    <x v="3"/>
    <s v="Product_18"/>
    <n v="6"/>
    <n v="3163"/>
    <n v="18978"/>
    <n v="5713"/>
    <x v="1"/>
  </r>
  <r>
    <s v="ORD0832"/>
    <x v="275"/>
    <x v="0"/>
    <x v="2"/>
    <s v="Product_10"/>
    <n v="3"/>
    <n v="4794"/>
    <n v="14382"/>
    <n v="4583"/>
    <x v="2"/>
  </r>
  <r>
    <s v="ORD0833"/>
    <x v="108"/>
    <x v="2"/>
    <x v="1"/>
    <s v="Product_3"/>
    <n v="1"/>
    <n v="3249"/>
    <n v="3249"/>
    <n v="829"/>
    <x v="3"/>
  </r>
  <r>
    <s v="ORD0834"/>
    <x v="306"/>
    <x v="1"/>
    <x v="1"/>
    <s v="Product_2"/>
    <n v="2"/>
    <n v="798"/>
    <n v="1596"/>
    <n v="466"/>
    <x v="2"/>
  </r>
  <r>
    <s v="ORD0835"/>
    <x v="88"/>
    <x v="1"/>
    <x v="2"/>
    <s v="Product_40"/>
    <n v="2"/>
    <n v="3561"/>
    <n v="7122"/>
    <n v="2427"/>
    <x v="0"/>
  </r>
  <r>
    <s v="ORD0836"/>
    <x v="206"/>
    <x v="2"/>
    <x v="1"/>
    <s v="Product_38"/>
    <n v="5"/>
    <n v="4426"/>
    <n v="22130"/>
    <n v="6328"/>
    <x v="3"/>
  </r>
  <r>
    <s v="ORD0837"/>
    <x v="61"/>
    <x v="2"/>
    <x v="2"/>
    <s v="Product_50"/>
    <n v="1"/>
    <n v="2128"/>
    <n v="2128"/>
    <n v="304"/>
    <x v="3"/>
  </r>
  <r>
    <s v="ORD0838"/>
    <x v="120"/>
    <x v="1"/>
    <x v="4"/>
    <s v="Product_8"/>
    <n v="2"/>
    <n v="4820"/>
    <n v="9640"/>
    <n v="2969"/>
    <x v="0"/>
  </r>
  <r>
    <s v="ORD0839"/>
    <x v="260"/>
    <x v="2"/>
    <x v="4"/>
    <s v="Product_7"/>
    <n v="7"/>
    <n v="1413"/>
    <n v="9891"/>
    <n v="2549"/>
    <x v="3"/>
  </r>
  <r>
    <s v="ORD0840"/>
    <x v="51"/>
    <x v="0"/>
    <x v="2"/>
    <s v="Product_14"/>
    <n v="7"/>
    <n v="1669"/>
    <n v="11683"/>
    <n v="1767"/>
    <x v="2"/>
  </r>
  <r>
    <s v="ORD0841"/>
    <x v="272"/>
    <x v="2"/>
    <x v="1"/>
    <s v="Product_46"/>
    <n v="9"/>
    <n v="2557"/>
    <n v="23013"/>
    <n v="6509"/>
    <x v="2"/>
  </r>
  <r>
    <s v="ORD0842"/>
    <x v="318"/>
    <x v="1"/>
    <x v="4"/>
    <s v="Product_24"/>
    <n v="8"/>
    <n v="3096"/>
    <n v="24768"/>
    <n v="9465"/>
    <x v="1"/>
  </r>
  <r>
    <s v="ORD0843"/>
    <x v="151"/>
    <x v="3"/>
    <x v="4"/>
    <s v="Product_29"/>
    <n v="10"/>
    <n v="4454"/>
    <n v="44540"/>
    <n v="14251"/>
    <x v="2"/>
  </r>
  <r>
    <s v="ORD0844"/>
    <x v="149"/>
    <x v="2"/>
    <x v="0"/>
    <s v="Product_19"/>
    <n v="3"/>
    <n v="4026"/>
    <n v="12078"/>
    <n v="2266"/>
    <x v="3"/>
  </r>
  <r>
    <s v="ORD0845"/>
    <x v="246"/>
    <x v="3"/>
    <x v="3"/>
    <s v="Product_36"/>
    <n v="6"/>
    <n v="710"/>
    <n v="4260"/>
    <n v="1526"/>
    <x v="0"/>
  </r>
  <r>
    <s v="ORD0846"/>
    <x v="272"/>
    <x v="0"/>
    <x v="2"/>
    <s v="Product_23"/>
    <n v="10"/>
    <n v="801"/>
    <n v="8010"/>
    <n v="3014"/>
    <x v="1"/>
  </r>
  <r>
    <s v="ORD0847"/>
    <x v="82"/>
    <x v="3"/>
    <x v="2"/>
    <s v="Product_22"/>
    <n v="5"/>
    <n v="676"/>
    <n v="3380"/>
    <n v="675"/>
    <x v="3"/>
  </r>
  <r>
    <s v="ORD0848"/>
    <x v="224"/>
    <x v="2"/>
    <x v="1"/>
    <s v="Product_8"/>
    <n v="6"/>
    <n v="892"/>
    <n v="5352"/>
    <n v="1961"/>
    <x v="2"/>
  </r>
  <r>
    <s v="ORD0849"/>
    <x v="145"/>
    <x v="0"/>
    <x v="1"/>
    <s v="Product_21"/>
    <n v="1"/>
    <n v="2440"/>
    <n v="2440"/>
    <n v="733"/>
    <x v="2"/>
  </r>
  <r>
    <s v="ORD0850"/>
    <x v="183"/>
    <x v="2"/>
    <x v="4"/>
    <s v="Product_24"/>
    <n v="4"/>
    <n v="1840"/>
    <n v="7360"/>
    <n v="1912"/>
    <x v="1"/>
  </r>
  <r>
    <s v="ORD0851"/>
    <x v="225"/>
    <x v="0"/>
    <x v="3"/>
    <s v="Product_38"/>
    <n v="8"/>
    <n v="4152"/>
    <n v="33216"/>
    <n v="8014"/>
    <x v="2"/>
  </r>
  <r>
    <s v="ORD0852"/>
    <x v="41"/>
    <x v="2"/>
    <x v="1"/>
    <s v="Product_18"/>
    <n v="4"/>
    <n v="1289"/>
    <n v="5156"/>
    <n v="663"/>
    <x v="2"/>
  </r>
  <r>
    <s v="ORD0853"/>
    <x v="320"/>
    <x v="3"/>
    <x v="0"/>
    <s v="Product_35"/>
    <n v="5"/>
    <n v="4008"/>
    <n v="20040"/>
    <n v="5236"/>
    <x v="3"/>
  </r>
  <r>
    <s v="ORD0854"/>
    <x v="121"/>
    <x v="0"/>
    <x v="3"/>
    <s v="Product_46"/>
    <n v="2"/>
    <n v="2026"/>
    <n v="4052"/>
    <n v="847"/>
    <x v="2"/>
  </r>
  <r>
    <s v="ORD0855"/>
    <x v="159"/>
    <x v="2"/>
    <x v="4"/>
    <s v="Product_1"/>
    <n v="3"/>
    <n v="3247"/>
    <n v="9741"/>
    <n v="2391"/>
    <x v="0"/>
  </r>
  <r>
    <s v="ORD0856"/>
    <x v="156"/>
    <x v="2"/>
    <x v="1"/>
    <s v="Product_2"/>
    <n v="10"/>
    <n v="4957"/>
    <n v="49570"/>
    <n v="15571"/>
    <x v="1"/>
  </r>
  <r>
    <s v="ORD0857"/>
    <x v="41"/>
    <x v="1"/>
    <x v="0"/>
    <s v="Product_16"/>
    <n v="9"/>
    <n v="4662"/>
    <n v="41958"/>
    <n v="10029"/>
    <x v="2"/>
  </r>
  <r>
    <s v="ORD0858"/>
    <x v="169"/>
    <x v="3"/>
    <x v="2"/>
    <s v="Product_46"/>
    <n v="3"/>
    <n v="2054"/>
    <n v="6162"/>
    <n v="714"/>
    <x v="2"/>
  </r>
  <r>
    <s v="ORD0859"/>
    <x v="130"/>
    <x v="0"/>
    <x v="4"/>
    <s v="Product_50"/>
    <n v="2"/>
    <n v="1433"/>
    <n v="2866"/>
    <n v="728"/>
    <x v="0"/>
  </r>
  <r>
    <s v="ORD0860"/>
    <x v="273"/>
    <x v="0"/>
    <x v="0"/>
    <s v="Product_37"/>
    <n v="3"/>
    <n v="2315"/>
    <n v="6945"/>
    <n v="1908"/>
    <x v="0"/>
  </r>
  <r>
    <s v="ORD0861"/>
    <x v="188"/>
    <x v="3"/>
    <x v="2"/>
    <s v="Product_18"/>
    <n v="10"/>
    <n v="3364"/>
    <n v="33640"/>
    <n v="12546"/>
    <x v="2"/>
  </r>
  <r>
    <s v="ORD0862"/>
    <x v="10"/>
    <x v="2"/>
    <x v="1"/>
    <s v="Product_34"/>
    <n v="2"/>
    <n v="3954"/>
    <n v="7908"/>
    <n v="1700"/>
    <x v="3"/>
  </r>
  <r>
    <s v="ORD0863"/>
    <x v="47"/>
    <x v="3"/>
    <x v="0"/>
    <s v="Product_43"/>
    <n v="10"/>
    <n v="1710"/>
    <n v="17100"/>
    <n v="2561"/>
    <x v="2"/>
  </r>
  <r>
    <s v="ORD0864"/>
    <x v="6"/>
    <x v="1"/>
    <x v="2"/>
    <s v="Product_18"/>
    <n v="9"/>
    <n v="4263"/>
    <n v="38367"/>
    <n v="11136"/>
    <x v="3"/>
  </r>
  <r>
    <s v="ORD0865"/>
    <x v="68"/>
    <x v="3"/>
    <x v="2"/>
    <s v="Product_11"/>
    <n v="3"/>
    <n v="2425"/>
    <n v="7275"/>
    <n v="1765"/>
    <x v="2"/>
  </r>
  <r>
    <s v="ORD0866"/>
    <x v="117"/>
    <x v="2"/>
    <x v="1"/>
    <s v="Product_5"/>
    <n v="3"/>
    <n v="1592"/>
    <n v="4776"/>
    <n v="1832"/>
    <x v="0"/>
  </r>
  <r>
    <s v="ORD0867"/>
    <x v="190"/>
    <x v="1"/>
    <x v="2"/>
    <s v="Product_42"/>
    <n v="3"/>
    <n v="2438"/>
    <n v="7314"/>
    <n v="2197"/>
    <x v="2"/>
  </r>
  <r>
    <s v="ORD0868"/>
    <x v="168"/>
    <x v="1"/>
    <x v="3"/>
    <s v="Product_27"/>
    <n v="6"/>
    <n v="2718"/>
    <n v="16308"/>
    <n v="2258"/>
    <x v="2"/>
  </r>
  <r>
    <s v="ORD0869"/>
    <x v="222"/>
    <x v="1"/>
    <x v="0"/>
    <s v="Product_6"/>
    <n v="1"/>
    <n v="4562"/>
    <n v="4562"/>
    <n v="1549"/>
    <x v="0"/>
  </r>
  <r>
    <s v="ORD0870"/>
    <x v="195"/>
    <x v="1"/>
    <x v="3"/>
    <s v="Product_34"/>
    <n v="6"/>
    <n v="4679"/>
    <n v="28074"/>
    <n v="3140"/>
    <x v="3"/>
  </r>
  <r>
    <s v="ORD0871"/>
    <x v="92"/>
    <x v="2"/>
    <x v="2"/>
    <s v="Product_35"/>
    <n v="4"/>
    <n v="3426"/>
    <n v="13704"/>
    <n v="1753"/>
    <x v="3"/>
  </r>
  <r>
    <s v="ORD0872"/>
    <x v="151"/>
    <x v="2"/>
    <x v="1"/>
    <s v="Product_5"/>
    <n v="6"/>
    <n v="1832"/>
    <n v="10992"/>
    <n v="1650"/>
    <x v="1"/>
  </r>
  <r>
    <s v="ORD0873"/>
    <x v="170"/>
    <x v="2"/>
    <x v="1"/>
    <s v="Product_41"/>
    <n v="2"/>
    <n v="3755"/>
    <n v="7510"/>
    <n v="2338"/>
    <x v="3"/>
  </r>
  <r>
    <s v="ORD0874"/>
    <x v="258"/>
    <x v="0"/>
    <x v="3"/>
    <s v="Product_25"/>
    <n v="7"/>
    <n v="4622"/>
    <n v="32354"/>
    <n v="11122"/>
    <x v="1"/>
  </r>
  <r>
    <s v="ORD0875"/>
    <x v="173"/>
    <x v="2"/>
    <x v="3"/>
    <s v="Product_21"/>
    <n v="5"/>
    <n v="4406"/>
    <n v="22030"/>
    <n v="4853"/>
    <x v="0"/>
  </r>
  <r>
    <s v="ORD0876"/>
    <x v="87"/>
    <x v="3"/>
    <x v="2"/>
    <s v="Product_13"/>
    <n v="8"/>
    <n v="560"/>
    <n v="4480"/>
    <n v="1372"/>
    <x v="3"/>
  </r>
  <r>
    <s v="ORD0877"/>
    <x v="100"/>
    <x v="2"/>
    <x v="3"/>
    <s v="Product_36"/>
    <n v="2"/>
    <n v="1187"/>
    <n v="2374"/>
    <n v="733"/>
    <x v="2"/>
  </r>
  <r>
    <s v="ORD0878"/>
    <x v="177"/>
    <x v="3"/>
    <x v="3"/>
    <s v="Product_46"/>
    <n v="2"/>
    <n v="3400"/>
    <n v="6800"/>
    <n v="2046"/>
    <x v="3"/>
  </r>
  <r>
    <s v="ORD0879"/>
    <x v="325"/>
    <x v="0"/>
    <x v="1"/>
    <s v="Product_20"/>
    <n v="6"/>
    <n v="4871"/>
    <n v="29226"/>
    <n v="6670"/>
    <x v="3"/>
  </r>
  <r>
    <s v="ORD0880"/>
    <x v="70"/>
    <x v="1"/>
    <x v="0"/>
    <s v="Product_3"/>
    <n v="5"/>
    <n v="3701"/>
    <n v="18505"/>
    <n v="2197"/>
    <x v="1"/>
  </r>
  <r>
    <s v="ORD0881"/>
    <x v="15"/>
    <x v="0"/>
    <x v="0"/>
    <s v="Product_12"/>
    <n v="1"/>
    <n v="575"/>
    <n v="575"/>
    <n v="228"/>
    <x v="2"/>
  </r>
  <r>
    <s v="ORD0882"/>
    <x v="326"/>
    <x v="0"/>
    <x v="4"/>
    <s v="Product_14"/>
    <n v="9"/>
    <n v="1516"/>
    <n v="13644"/>
    <n v="2928"/>
    <x v="3"/>
  </r>
  <r>
    <s v="ORD0883"/>
    <x v="327"/>
    <x v="3"/>
    <x v="4"/>
    <s v="Product_22"/>
    <n v="8"/>
    <n v="2824"/>
    <n v="22592"/>
    <n v="6710"/>
    <x v="0"/>
  </r>
  <r>
    <s v="ORD0884"/>
    <x v="133"/>
    <x v="1"/>
    <x v="0"/>
    <s v="Product_20"/>
    <n v="5"/>
    <n v="4069"/>
    <n v="20345"/>
    <n v="2380"/>
    <x v="2"/>
  </r>
  <r>
    <s v="ORD0885"/>
    <x v="27"/>
    <x v="3"/>
    <x v="4"/>
    <s v="Product_2"/>
    <n v="10"/>
    <n v="2019"/>
    <n v="20190"/>
    <n v="5821"/>
    <x v="0"/>
  </r>
  <r>
    <s v="ORD0886"/>
    <x v="140"/>
    <x v="2"/>
    <x v="3"/>
    <s v="Product_33"/>
    <n v="3"/>
    <n v="3703"/>
    <n v="11109"/>
    <n v="1560"/>
    <x v="0"/>
  </r>
  <r>
    <s v="ORD0887"/>
    <x v="285"/>
    <x v="1"/>
    <x v="3"/>
    <s v="Product_39"/>
    <n v="3"/>
    <n v="1705"/>
    <n v="5115"/>
    <n v="1640"/>
    <x v="3"/>
  </r>
  <r>
    <s v="ORD0888"/>
    <x v="212"/>
    <x v="1"/>
    <x v="0"/>
    <s v="Product_39"/>
    <n v="5"/>
    <n v="1257"/>
    <n v="6285"/>
    <n v="1886"/>
    <x v="1"/>
  </r>
  <r>
    <s v="ORD0889"/>
    <x v="155"/>
    <x v="0"/>
    <x v="1"/>
    <s v="Product_31"/>
    <n v="6"/>
    <n v="3055"/>
    <n v="18330"/>
    <n v="5709"/>
    <x v="3"/>
  </r>
  <r>
    <s v="ORD0890"/>
    <x v="283"/>
    <x v="3"/>
    <x v="3"/>
    <s v="Product_11"/>
    <n v="8"/>
    <n v="4579"/>
    <n v="36632"/>
    <n v="11551"/>
    <x v="3"/>
  </r>
  <r>
    <s v="ORD0891"/>
    <x v="99"/>
    <x v="1"/>
    <x v="0"/>
    <s v="Product_31"/>
    <n v="10"/>
    <n v="1148"/>
    <n v="11480"/>
    <n v="3962"/>
    <x v="1"/>
  </r>
  <r>
    <s v="ORD0892"/>
    <x v="259"/>
    <x v="2"/>
    <x v="4"/>
    <s v="Product_34"/>
    <n v="1"/>
    <n v="2688"/>
    <n v="2688"/>
    <n v="406"/>
    <x v="0"/>
  </r>
  <r>
    <s v="ORD0893"/>
    <x v="165"/>
    <x v="2"/>
    <x v="3"/>
    <s v="Product_11"/>
    <n v="4"/>
    <n v="4874"/>
    <n v="19496"/>
    <n v="2770"/>
    <x v="2"/>
  </r>
  <r>
    <s v="ORD0894"/>
    <x v="319"/>
    <x v="0"/>
    <x v="3"/>
    <s v="Product_13"/>
    <n v="7"/>
    <n v="4915"/>
    <n v="34405"/>
    <n v="6161"/>
    <x v="0"/>
  </r>
  <r>
    <s v="ORD0895"/>
    <x v="203"/>
    <x v="2"/>
    <x v="4"/>
    <s v="Product_41"/>
    <n v="6"/>
    <n v="4375"/>
    <n v="26250"/>
    <n v="5635"/>
    <x v="2"/>
  </r>
  <r>
    <s v="ORD0896"/>
    <x v="232"/>
    <x v="2"/>
    <x v="0"/>
    <s v="Product_38"/>
    <n v="3"/>
    <n v="1650"/>
    <n v="4950"/>
    <n v="1747"/>
    <x v="2"/>
  </r>
  <r>
    <s v="ORD0897"/>
    <x v="328"/>
    <x v="2"/>
    <x v="0"/>
    <s v="Product_6"/>
    <n v="10"/>
    <n v="630"/>
    <n v="6300"/>
    <n v="1657"/>
    <x v="2"/>
  </r>
  <r>
    <s v="ORD0898"/>
    <x v="329"/>
    <x v="0"/>
    <x v="3"/>
    <s v="Product_31"/>
    <n v="6"/>
    <n v="1185"/>
    <n v="7110"/>
    <n v="1049"/>
    <x v="2"/>
  </r>
  <r>
    <s v="ORD0899"/>
    <x v="228"/>
    <x v="0"/>
    <x v="4"/>
    <s v="Product_37"/>
    <n v="9"/>
    <n v="1684"/>
    <n v="15156"/>
    <n v="4304"/>
    <x v="0"/>
  </r>
  <r>
    <s v="ORD0900"/>
    <x v="102"/>
    <x v="1"/>
    <x v="1"/>
    <s v="Product_39"/>
    <n v="1"/>
    <n v="3783"/>
    <n v="3783"/>
    <n v="835"/>
    <x v="2"/>
  </r>
  <r>
    <s v="ORD0901"/>
    <x v="306"/>
    <x v="0"/>
    <x v="4"/>
    <s v="Product_45"/>
    <n v="5"/>
    <n v="1889"/>
    <n v="9445"/>
    <n v="1445"/>
    <x v="0"/>
  </r>
  <r>
    <s v="ORD0902"/>
    <x v="177"/>
    <x v="2"/>
    <x v="2"/>
    <s v="Product_35"/>
    <n v="8"/>
    <n v="782"/>
    <n v="6256"/>
    <n v="1176"/>
    <x v="1"/>
  </r>
  <r>
    <s v="ORD0903"/>
    <x v="142"/>
    <x v="0"/>
    <x v="1"/>
    <s v="Product_25"/>
    <n v="4"/>
    <n v="3515"/>
    <n v="14060"/>
    <n v="4593"/>
    <x v="2"/>
  </r>
  <r>
    <s v="ORD0904"/>
    <x v="228"/>
    <x v="1"/>
    <x v="4"/>
    <s v="Product_47"/>
    <n v="1"/>
    <n v="3508"/>
    <n v="3508"/>
    <n v="1237"/>
    <x v="1"/>
  </r>
  <r>
    <s v="ORD0905"/>
    <x v="318"/>
    <x v="1"/>
    <x v="3"/>
    <s v="Product_14"/>
    <n v="10"/>
    <n v="2480"/>
    <n v="24800"/>
    <n v="6534"/>
    <x v="3"/>
  </r>
  <r>
    <s v="ORD0906"/>
    <x v="65"/>
    <x v="0"/>
    <x v="4"/>
    <s v="Product_31"/>
    <n v="6"/>
    <n v="4804"/>
    <n v="28824"/>
    <n v="3535"/>
    <x v="1"/>
  </r>
  <r>
    <s v="ORD0907"/>
    <x v="13"/>
    <x v="2"/>
    <x v="1"/>
    <s v="Product_19"/>
    <n v="2"/>
    <n v="3576"/>
    <n v="7152"/>
    <n v="1952"/>
    <x v="2"/>
  </r>
  <r>
    <s v="ORD0908"/>
    <x v="330"/>
    <x v="2"/>
    <x v="1"/>
    <s v="Product_44"/>
    <n v="9"/>
    <n v="3651"/>
    <n v="32859"/>
    <n v="4559"/>
    <x v="0"/>
  </r>
  <r>
    <s v="ORD0909"/>
    <x v="175"/>
    <x v="3"/>
    <x v="1"/>
    <s v="Product_25"/>
    <n v="1"/>
    <n v="2878"/>
    <n v="2878"/>
    <n v="733"/>
    <x v="0"/>
  </r>
  <r>
    <s v="ORD0910"/>
    <x v="16"/>
    <x v="2"/>
    <x v="2"/>
    <s v="Product_9"/>
    <n v="2"/>
    <n v="4368"/>
    <n v="8736"/>
    <n v="1392"/>
    <x v="3"/>
  </r>
  <r>
    <s v="ORD0911"/>
    <x v="269"/>
    <x v="0"/>
    <x v="2"/>
    <s v="Product_44"/>
    <n v="10"/>
    <n v="1167"/>
    <n v="11670"/>
    <n v="4340"/>
    <x v="2"/>
  </r>
  <r>
    <s v="ORD0912"/>
    <x v="171"/>
    <x v="1"/>
    <x v="4"/>
    <s v="Product_33"/>
    <n v="3"/>
    <n v="4002"/>
    <n v="12006"/>
    <n v="3136"/>
    <x v="1"/>
  </r>
  <r>
    <s v="ORD0913"/>
    <x v="127"/>
    <x v="0"/>
    <x v="2"/>
    <s v="Product_47"/>
    <n v="6"/>
    <n v="3418"/>
    <n v="20508"/>
    <n v="4924"/>
    <x v="2"/>
  </r>
  <r>
    <s v="ORD0914"/>
    <x v="57"/>
    <x v="3"/>
    <x v="3"/>
    <s v="Product_18"/>
    <n v="3"/>
    <n v="3161"/>
    <n v="9483"/>
    <n v="1430"/>
    <x v="0"/>
  </r>
  <r>
    <s v="ORD0915"/>
    <x v="197"/>
    <x v="2"/>
    <x v="3"/>
    <s v="Product_38"/>
    <n v="8"/>
    <n v="3277"/>
    <n v="26216"/>
    <n v="6678"/>
    <x v="0"/>
  </r>
  <r>
    <s v="ORD0916"/>
    <x v="244"/>
    <x v="0"/>
    <x v="3"/>
    <s v="Product_19"/>
    <n v="8"/>
    <n v="568"/>
    <n v="4544"/>
    <n v="1562"/>
    <x v="3"/>
  </r>
  <r>
    <s v="ORD0917"/>
    <x v="151"/>
    <x v="3"/>
    <x v="0"/>
    <s v="Product_5"/>
    <n v="5"/>
    <n v="3803"/>
    <n v="19015"/>
    <n v="4940"/>
    <x v="2"/>
  </r>
  <r>
    <s v="ORD0918"/>
    <x v="58"/>
    <x v="2"/>
    <x v="3"/>
    <s v="Product_2"/>
    <n v="8"/>
    <n v="3950"/>
    <n v="31600"/>
    <n v="3659"/>
    <x v="2"/>
  </r>
  <r>
    <s v="ORD0919"/>
    <x v="227"/>
    <x v="1"/>
    <x v="1"/>
    <s v="Product_23"/>
    <n v="9"/>
    <n v="1339"/>
    <n v="12051"/>
    <n v="2719"/>
    <x v="3"/>
  </r>
  <r>
    <s v="ORD0920"/>
    <x v="70"/>
    <x v="1"/>
    <x v="0"/>
    <s v="Product_33"/>
    <n v="9"/>
    <n v="3823"/>
    <n v="34407"/>
    <n v="13674"/>
    <x v="1"/>
  </r>
  <r>
    <s v="ORD0921"/>
    <x v="229"/>
    <x v="2"/>
    <x v="2"/>
    <s v="Product_21"/>
    <n v="4"/>
    <n v="3590"/>
    <n v="14360"/>
    <n v="5448"/>
    <x v="3"/>
  </r>
  <r>
    <s v="ORD0922"/>
    <x v="17"/>
    <x v="1"/>
    <x v="4"/>
    <s v="Product_18"/>
    <n v="9"/>
    <n v="1194"/>
    <n v="10746"/>
    <n v="1398"/>
    <x v="0"/>
  </r>
  <r>
    <s v="ORD0923"/>
    <x v="331"/>
    <x v="2"/>
    <x v="4"/>
    <s v="Product_9"/>
    <n v="4"/>
    <n v="1661"/>
    <n v="6644"/>
    <n v="2482"/>
    <x v="1"/>
  </r>
  <r>
    <s v="ORD0924"/>
    <x v="282"/>
    <x v="1"/>
    <x v="4"/>
    <s v="Product_5"/>
    <n v="6"/>
    <n v="4224"/>
    <n v="25344"/>
    <n v="6332"/>
    <x v="1"/>
  </r>
  <r>
    <s v="ORD0925"/>
    <x v="48"/>
    <x v="3"/>
    <x v="1"/>
    <s v="Product_34"/>
    <n v="3"/>
    <n v="3653"/>
    <n v="10959"/>
    <n v="1794"/>
    <x v="2"/>
  </r>
  <r>
    <s v="ORD0926"/>
    <x v="283"/>
    <x v="2"/>
    <x v="0"/>
    <s v="Product_9"/>
    <n v="10"/>
    <n v="2895"/>
    <n v="28950"/>
    <n v="6467"/>
    <x v="2"/>
  </r>
  <r>
    <s v="ORD0927"/>
    <x v="56"/>
    <x v="2"/>
    <x v="0"/>
    <s v="Product_5"/>
    <n v="3"/>
    <n v="1926"/>
    <n v="5778"/>
    <n v="845"/>
    <x v="3"/>
  </r>
  <r>
    <s v="ORD0928"/>
    <x v="121"/>
    <x v="3"/>
    <x v="0"/>
    <s v="Product_48"/>
    <n v="10"/>
    <n v="2651"/>
    <n v="26510"/>
    <n v="9352"/>
    <x v="3"/>
  </r>
  <r>
    <s v="ORD0929"/>
    <x v="177"/>
    <x v="2"/>
    <x v="2"/>
    <s v="Product_11"/>
    <n v="2"/>
    <n v="1117"/>
    <n v="2234"/>
    <n v="280"/>
    <x v="1"/>
  </r>
  <r>
    <s v="ORD0930"/>
    <x v="309"/>
    <x v="1"/>
    <x v="4"/>
    <s v="Product_24"/>
    <n v="2"/>
    <n v="4930"/>
    <n v="9860"/>
    <n v="1956"/>
    <x v="1"/>
  </r>
  <r>
    <s v="ORD0931"/>
    <x v="11"/>
    <x v="0"/>
    <x v="2"/>
    <s v="Product_39"/>
    <n v="4"/>
    <n v="4494"/>
    <n v="17976"/>
    <n v="4768"/>
    <x v="3"/>
  </r>
  <r>
    <s v="ORD0932"/>
    <x v="186"/>
    <x v="1"/>
    <x v="1"/>
    <s v="Product_48"/>
    <n v="3"/>
    <n v="1144"/>
    <n v="3432"/>
    <n v="1118"/>
    <x v="1"/>
  </r>
  <r>
    <s v="ORD0933"/>
    <x v="83"/>
    <x v="1"/>
    <x v="2"/>
    <s v="Product_12"/>
    <n v="2"/>
    <n v="3348"/>
    <n v="6696"/>
    <n v="1651"/>
    <x v="3"/>
  </r>
  <r>
    <s v="ORD0934"/>
    <x v="155"/>
    <x v="0"/>
    <x v="3"/>
    <s v="Product_26"/>
    <n v="7"/>
    <n v="3750"/>
    <n v="26250"/>
    <n v="10013"/>
    <x v="3"/>
  </r>
  <r>
    <s v="ORD0935"/>
    <x v="163"/>
    <x v="2"/>
    <x v="3"/>
    <s v="Product_4"/>
    <n v="9"/>
    <n v="3803"/>
    <n v="34227"/>
    <n v="12500"/>
    <x v="2"/>
  </r>
  <r>
    <s v="ORD0936"/>
    <x v="55"/>
    <x v="2"/>
    <x v="4"/>
    <s v="Product_20"/>
    <n v="6"/>
    <n v="3554"/>
    <n v="21324"/>
    <n v="6630"/>
    <x v="0"/>
  </r>
  <r>
    <s v="ORD0937"/>
    <x v="256"/>
    <x v="1"/>
    <x v="4"/>
    <s v="Product_43"/>
    <n v="4"/>
    <n v="3161"/>
    <n v="12644"/>
    <n v="1668"/>
    <x v="1"/>
  </r>
  <r>
    <s v="ORD0938"/>
    <x v="330"/>
    <x v="0"/>
    <x v="3"/>
    <s v="Product_43"/>
    <n v="2"/>
    <n v="1682"/>
    <n v="3364"/>
    <n v="1224"/>
    <x v="1"/>
  </r>
  <r>
    <s v="ORD0939"/>
    <x v="267"/>
    <x v="0"/>
    <x v="3"/>
    <s v="Product_17"/>
    <n v="1"/>
    <n v="685"/>
    <n v="685"/>
    <n v="111"/>
    <x v="1"/>
  </r>
  <r>
    <s v="ORD0940"/>
    <x v="48"/>
    <x v="1"/>
    <x v="2"/>
    <s v="Product_12"/>
    <n v="2"/>
    <n v="2645"/>
    <n v="5290"/>
    <n v="1231"/>
    <x v="2"/>
  </r>
  <r>
    <s v="ORD0941"/>
    <x v="332"/>
    <x v="0"/>
    <x v="4"/>
    <s v="Product_46"/>
    <n v="2"/>
    <n v="2728"/>
    <n v="5456"/>
    <n v="1910"/>
    <x v="0"/>
  </r>
  <r>
    <s v="ORD0942"/>
    <x v="148"/>
    <x v="0"/>
    <x v="0"/>
    <s v="Product_6"/>
    <n v="1"/>
    <n v="4045"/>
    <n v="4045"/>
    <n v="702"/>
    <x v="1"/>
  </r>
  <r>
    <s v="ORD0943"/>
    <x v="287"/>
    <x v="2"/>
    <x v="3"/>
    <s v="Product_49"/>
    <n v="8"/>
    <n v="1226"/>
    <n v="9808"/>
    <n v="1848"/>
    <x v="2"/>
  </r>
  <r>
    <s v="ORD0944"/>
    <x v="158"/>
    <x v="1"/>
    <x v="2"/>
    <s v="Product_34"/>
    <n v="10"/>
    <n v="4192"/>
    <n v="41920"/>
    <n v="6064"/>
    <x v="0"/>
  </r>
  <r>
    <s v="ORD0945"/>
    <x v="73"/>
    <x v="0"/>
    <x v="2"/>
    <s v="Product_33"/>
    <n v="9"/>
    <n v="4818"/>
    <n v="43362"/>
    <n v="11379"/>
    <x v="3"/>
  </r>
  <r>
    <s v="ORD0946"/>
    <x v="164"/>
    <x v="1"/>
    <x v="4"/>
    <s v="Product_11"/>
    <n v="5"/>
    <n v="3611"/>
    <n v="18055"/>
    <n v="6837"/>
    <x v="1"/>
  </r>
  <r>
    <s v="ORD0947"/>
    <x v="170"/>
    <x v="3"/>
    <x v="4"/>
    <s v="Product_45"/>
    <n v="10"/>
    <n v="1063"/>
    <n v="10630"/>
    <n v="3714"/>
    <x v="2"/>
  </r>
  <r>
    <s v="ORD0948"/>
    <x v="3"/>
    <x v="3"/>
    <x v="3"/>
    <s v="Product_38"/>
    <n v="8"/>
    <n v="1368"/>
    <n v="10944"/>
    <n v="3992"/>
    <x v="1"/>
  </r>
  <r>
    <s v="ORD0949"/>
    <x v="310"/>
    <x v="3"/>
    <x v="4"/>
    <s v="Product_10"/>
    <n v="8"/>
    <n v="1961"/>
    <n v="15688"/>
    <n v="1766"/>
    <x v="3"/>
  </r>
  <r>
    <s v="ORD0950"/>
    <x v="333"/>
    <x v="1"/>
    <x v="4"/>
    <s v="Product_31"/>
    <n v="4"/>
    <n v="1006"/>
    <n v="4024"/>
    <n v="1458"/>
    <x v="0"/>
  </r>
  <r>
    <s v="ORD0951"/>
    <x v="306"/>
    <x v="0"/>
    <x v="3"/>
    <s v="Product_43"/>
    <n v="5"/>
    <n v="543"/>
    <n v="2715"/>
    <n v="520"/>
    <x v="0"/>
  </r>
  <r>
    <s v="ORD0952"/>
    <x v="164"/>
    <x v="1"/>
    <x v="2"/>
    <s v="Product_38"/>
    <n v="8"/>
    <n v="863"/>
    <n v="6904"/>
    <n v="1296"/>
    <x v="2"/>
  </r>
  <r>
    <s v="ORD0953"/>
    <x v="185"/>
    <x v="2"/>
    <x v="0"/>
    <s v="Product_39"/>
    <n v="3"/>
    <n v="4282"/>
    <n v="12846"/>
    <n v="4722"/>
    <x v="3"/>
  </r>
  <r>
    <s v="ORD0954"/>
    <x v="167"/>
    <x v="0"/>
    <x v="4"/>
    <s v="Product_8"/>
    <n v="9"/>
    <n v="4379"/>
    <n v="39411"/>
    <n v="5174"/>
    <x v="2"/>
  </r>
  <r>
    <s v="ORD0955"/>
    <x v="159"/>
    <x v="0"/>
    <x v="2"/>
    <s v="Product_38"/>
    <n v="10"/>
    <n v="4977"/>
    <n v="49770"/>
    <n v="11148"/>
    <x v="2"/>
  </r>
  <r>
    <s v="ORD0956"/>
    <x v="54"/>
    <x v="3"/>
    <x v="1"/>
    <s v="Product_28"/>
    <n v="3"/>
    <n v="3916"/>
    <n v="11748"/>
    <n v="3871"/>
    <x v="1"/>
  </r>
  <r>
    <s v="ORD0957"/>
    <x v="308"/>
    <x v="3"/>
    <x v="1"/>
    <s v="Product_14"/>
    <n v="7"/>
    <n v="2906"/>
    <n v="20342"/>
    <n v="7061"/>
    <x v="0"/>
  </r>
  <r>
    <s v="ORD0958"/>
    <x v="65"/>
    <x v="0"/>
    <x v="4"/>
    <s v="Product_21"/>
    <n v="8"/>
    <n v="1502"/>
    <n v="12016"/>
    <n v="3535"/>
    <x v="0"/>
  </r>
  <r>
    <s v="ORD0959"/>
    <x v="334"/>
    <x v="0"/>
    <x v="2"/>
    <s v="Product_18"/>
    <n v="5"/>
    <n v="781"/>
    <n v="3905"/>
    <n v="692"/>
    <x v="3"/>
  </r>
  <r>
    <s v="ORD0960"/>
    <x v="181"/>
    <x v="3"/>
    <x v="1"/>
    <s v="Product_38"/>
    <n v="1"/>
    <n v="934"/>
    <n v="934"/>
    <n v="258"/>
    <x v="1"/>
  </r>
  <r>
    <s v="ORD0961"/>
    <x v="145"/>
    <x v="3"/>
    <x v="0"/>
    <s v="Product_25"/>
    <n v="2"/>
    <n v="1292"/>
    <n v="2584"/>
    <n v="709"/>
    <x v="2"/>
  </r>
  <r>
    <s v="ORD0962"/>
    <x v="9"/>
    <x v="2"/>
    <x v="4"/>
    <s v="Product_35"/>
    <n v="2"/>
    <n v="2043"/>
    <n v="4086"/>
    <n v="422"/>
    <x v="2"/>
  </r>
  <r>
    <s v="ORD0963"/>
    <x v="201"/>
    <x v="0"/>
    <x v="0"/>
    <s v="Product_21"/>
    <n v="6"/>
    <n v="4742"/>
    <n v="28452"/>
    <n v="7310"/>
    <x v="3"/>
  </r>
  <r>
    <s v="ORD0964"/>
    <x v="259"/>
    <x v="1"/>
    <x v="4"/>
    <s v="Product_12"/>
    <n v="2"/>
    <n v="2469"/>
    <n v="4938"/>
    <n v="629"/>
    <x v="1"/>
  </r>
  <r>
    <s v="ORD0965"/>
    <x v="279"/>
    <x v="0"/>
    <x v="3"/>
    <s v="Product_18"/>
    <n v="9"/>
    <n v="2086"/>
    <n v="18774"/>
    <n v="2182"/>
    <x v="2"/>
  </r>
  <r>
    <s v="ORD0966"/>
    <x v="102"/>
    <x v="0"/>
    <x v="3"/>
    <s v="Product_36"/>
    <n v="8"/>
    <n v="2814"/>
    <n v="22512"/>
    <n v="2394"/>
    <x v="2"/>
  </r>
  <r>
    <s v="ORD0967"/>
    <x v="254"/>
    <x v="0"/>
    <x v="4"/>
    <s v="Product_10"/>
    <n v="5"/>
    <n v="2410"/>
    <n v="12050"/>
    <n v="1798"/>
    <x v="1"/>
  </r>
  <r>
    <s v="ORD0968"/>
    <x v="269"/>
    <x v="3"/>
    <x v="4"/>
    <s v="Product_15"/>
    <n v="4"/>
    <n v="2387"/>
    <n v="9548"/>
    <n v="1648"/>
    <x v="3"/>
  </r>
  <r>
    <s v="ORD0969"/>
    <x v="284"/>
    <x v="0"/>
    <x v="1"/>
    <s v="Product_46"/>
    <n v="1"/>
    <n v="3638"/>
    <n v="3638"/>
    <n v="1178"/>
    <x v="3"/>
  </r>
  <r>
    <s v="ORD0970"/>
    <x v="99"/>
    <x v="0"/>
    <x v="3"/>
    <s v="Product_44"/>
    <n v="10"/>
    <n v="2932"/>
    <n v="29320"/>
    <n v="7570"/>
    <x v="2"/>
  </r>
  <r>
    <s v="ORD0971"/>
    <x v="129"/>
    <x v="0"/>
    <x v="0"/>
    <s v="Product_17"/>
    <n v="7"/>
    <n v="3692"/>
    <n v="25844"/>
    <n v="9554"/>
    <x v="2"/>
  </r>
  <r>
    <s v="ORD0972"/>
    <x v="91"/>
    <x v="2"/>
    <x v="1"/>
    <s v="Product_22"/>
    <n v="10"/>
    <n v="1602"/>
    <n v="16020"/>
    <n v="3570"/>
    <x v="1"/>
  </r>
  <r>
    <s v="ORD0973"/>
    <x v="273"/>
    <x v="2"/>
    <x v="2"/>
    <s v="Product_30"/>
    <n v="3"/>
    <n v="4836"/>
    <n v="14508"/>
    <n v="5297"/>
    <x v="1"/>
  </r>
  <r>
    <s v="ORD0974"/>
    <x v="334"/>
    <x v="1"/>
    <x v="1"/>
    <s v="Product_18"/>
    <n v="6"/>
    <n v="2265"/>
    <n v="13590"/>
    <n v="4778"/>
    <x v="0"/>
  </r>
  <r>
    <s v="ORD0975"/>
    <x v="311"/>
    <x v="3"/>
    <x v="2"/>
    <s v="Product_34"/>
    <n v="7"/>
    <n v="1035"/>
    <n v="7245"/>
    <n v="930"/>
    <x v="0"/>
  </r>
  <r>
    <s v="ORD0976"/>
    <x v="168"/>
    <x v="1"/>
    <x v="0"/>
    <s v="Product_22"/>
    <n v="6"/>
    <n v="2411"/>
    <n v="14466"/>
    <n v="3665"/>
    <x v="1"/>
  </r>
  <r>
    <s v="ORD0977"/>
    <x v="140"/>
    <x v="3"/>
    <x v="2"/>
    <s v="Product_29"/>
    <n v="8"/>
    <n v="2012"/>
    <n v="16096"/>
    <n v="3622"/>
    <x v="0"/>
  </r>
  <r>
    <s v="ORD0978"/>
    <x v="335"/>
    <x v="0"/>
    <x v="0"/>
    <s v="Product_4"/>
    <n v="10"/>
    <n v="2802"/>
    <n v="28020"/>
    <n v="3482"/>
    <x v="1"/>
  </r>
  <r>
    <s v="ORD0979"/>
    <x v="99"/>
    <x v="1"/>
    <x v="3"/>
    <s v="Product_46"/>
    <n v="1"/>
    <n v="1789"/>
    <n v="1789"/>
    <n v="452"/>
    <x v="2"/>
  </r>
  <r>
    <s v="ORD0980"/>
    <x v="252"/>
    <x v="3"/>
    <x v="4"/>
    <s v="Product_17"/>
    <n v="9"/>
    <n v="3288"/>
    <n v="29592"/>
    <n v="9190"/>
    <x v="1"/>
  </r>
  <r>
    <s v="ORD0981"/>
    <x v="334"/>
    <x v="0"/>
    <x v="0"/>
    <s v="Product_30"/>
    <n v="7"/>
    <n v="2205"/>
    <n v="15435"/>
    <n v="5723"/>
    <x v="2"/>
  </r>
  <r>
    <s v="ORD0982"/>
    <x v="239"/>
    <x v="0"/>
    <x v="1"/>
    <s v="Product_34"/>
    <n v="1"/>
    <n v="2231"/>
    <n v="2231"/>
    <n v="722"/>
    <x v="1"/>
  </r>
  <r>
    <s v="ORD0983"/>
    <x v="307"/>
    <x v="3"/>
    <x v="1"/>
    <s v="Product_9"/>
    <n v="5"/>
    <n v="1597"/>
    <n v="7985"/>
    <n v="2575"/>
    <x v="0"/>
  </r>
  <r>
    <s v="ORD0984"/>
    <x v="24"/>
    <x v="2"/>
    <x v="4"/>
    <s v="Product_23"/>
    <n v="10"/>
    <n v="2855"/>
    <n v="28550"/>
    <n v="11254"/>
    <x v="2"/>
  </r>
  <r>
    <s v="ORD0985"/>
    <x v="119"/>
    <x v="3"/>
    <x v="3"/>
    <s v="Product_43"/>
    <n v="3"/>
    <n v="1015"/>
    <n v="3045"/>
    <n v="887"/>
    <x v="2"/>
  </r>
  <r>
    <s v="ORD0986"/>
    <x v="336"/>
    <x v="0"/>
    <x v="4"/>
    <s v="Product_45"/>
    <n v="2"/>
    <n v="2756"/>
    <n v="5512"/>
    <n v="1704"/>
    <x v="1"/>
  </r>
  <r>
    <s v="ORD0987"/>
    <x v="278"/>
    <x v="1"/>
    <x v="1"/>
    <s v="Product_21"/>
    <n v="10"/>
    <n v="2973"/>
    <n v="29730"/>
    <n v="9555"/>
    <x v="1"/>
  </r>
  <r>
    <s v="ORD0988"/>
    <x v="48"/>
    <x v="2"/>
    <x v="2"/>
    <s v="Product_30"/>
    <n v="4"/>
    <n v="1858"/>
    <n v="7432"/>
    <n v="1305"/>
    <x v="2"/>
  </r>
  <r>
    <s v="ORD0989"/>
    <x v="293"/>
    <x v="0"/>
    <x v="0"/>
    <s v="Product_18"/>
    <n v="2"/>
    <n v="1342"/>
    <n v="2684"/>
    <n v="622"/>
    <x v="1"/>
  </r>
  <r>
    <s v="ORD0990"/>
    <x v="337"/>
    <x v="3"/>
    <x v="0"/>
    <s v="Product_24"/>
    <n v="8"/>
    <n v="2357"/>
    <n v="18856"/>
    <n v="2437"/>
    <x v="1"/>
  </r>
  <r>
    <s v="ORD0991"/>
    <x v="55"/>
    <x v="2"/>
    <x v="1"/>
    <s v="Product_30"/>
    <n v="6"/>
    <n v="3288"/>
    <n v="19728"/>
    <n v="7196"/>
    <x v="2"/>
  </r>
  <r>
    <s v="ORD0992"/>
    <x v="338"/>
    <x v="0"/>
    <x v="4"/>
    <s v="Product_4"/>
    <n v="3"/>
    <n v="1130"/>
    <n v="3390"/>
    <n v="647"/>
    <x v="1"/>
  </r>
  <r>
    <s v="ORD0993"/>
    <x v="226"/>
    <x v="1"/>
    <x v="4"/>
    <s v="Product_30"/>
    <n v="2"/>
    <n v="1404"/>
    <n v="2808"/>
    <n v="633"/>
    <x v="3"/>
  </r>
  <r>
    <s v="ORD0994"/>
    <x v="173"/>
    <x v="2"/>
    <x v="2"/>
    <s v="Product_15"/>
    <n v="6"/>
    <n v="4708"/>
    <n v="28248"/>
    <n v="7465"/>
    <x v="2"/>
  </r>
  <r>
    <s v="ORD0995"/>
    <x v="236"/>
    <x v="3"/>
    <x v="0"/>
    <s v="Product_49"/>
    <n v="10"/>
    <n v="4289"/>
    <n v="42890"/>
    <n v="8183"/>
    <x v="1"/>
  </r>
  <r>
    <s v="ORD0996"/>
    <x v="269"/>
    <x v="2"/>
    <x v="4"/>
    <s v="Product_15"/>
    <n v="9"/>
    <n v="3217"/>
    <n v="28953"/>
    <n v="7100"/>
    <x v="3"/>
  </r>
  <r>
    <s v="ORD0997"/>
    <x v="130"/>
    <x v="2"/>
    <x v="4"/>
    <s v="Product_28"/>
    <n v="5"/>
    <n v="1203"/>
    <n v="6015"/>
    <n v="1718"/>
    <x v="3"/>
  </r>
  <r>
    <s v="ORD0998"/>
    <x v="218"/>
    <x v="1"/>
    <x v="0"/>
    <s v="Product_19"/>
    <n v="1"/>
    <n v="2928"/>
    <n v="2928"/>
    <n v="869"/>
    <x v="0"/>
  </r>
  <r>
    <s v="ORD0999"/>
    <x v="333"/>
    <x v="1"/>
    <x v="1"/>
    <s v="Product_7"/>
    <n v="9"/>
    <n v="3408"/>
    <n v="30672"/>
    <n v="4374"/>
    <x v="1"/>
  </r>
  <r>
    <s v="ORD1000"/>
    <x v="314"/>
    <x v="2"/>
    <x v="0"/>
    <s v="Product_13"/>
    <n v="10"/>
    <n v="1027"/>
    <n v="10270"/>
    <n v="173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E89A38-CD28-49B6-A591-6030617A321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63:B76" firstHeaderRow="1" firstDataRow="1" firstDataCol="1"/>
  <pivotFields count="13">
    <pivotField showAll="0"/>
    <pivotField numFmtId="14" showAll="0">
      <items count="340">
        <item x="223"/>
        <item x="1"/>
        <item x="75"/>
        <item x="315"/>
        <item x="0"/>
        <item x="303"/>
        <item x="307"/>
        <item x="327"/>
        <item x="183"/>
        <item x="73"/>
        <item x="111"/>
        <item x="320"/>
        <item x="230"/>
        <item x="84"/>
        <item x="8"/>
        <item x="278"/>
        <item x="326"/>
        <item x="120"/>
        <item x="163"/>
        <item x="50"/>
        <item x="301"/>
        <item x="107"/>
        <item x="113"/>
        <item x="187"/>
        <item x="6"/>
        <item x="142"/>
        <item x="205"/>
        <item x="193"/>
        <item x="15"/>
        <item x="102"/>
        <item x="126"/>
        <item x="201"/>
        <item x="110"/>
        <item x="275"/>
        <item x="109"/>
        <item x="214"/>
        <item x="62"/>
        <item x="190"/>
        <item x="211"/>
        <item x="288"/>
        <item x="276"/>
        <item x="140"/>
        <item x="268"/>
        <item x="145"/>
        <item x="290"/>
        <item x="336"/>
        <item x="95"/>
        <item x="24"/>
        <item x="63"/>
        <item x="305"/>
        <item x="333"/>
        <item x="323"/>
        <item x="90"/>
        <item x="146"/>
        <item x="25"/>
        <item x="300"/>
        <item x="234"/>
        <item x="263"/>
        <item x="94"/>
        <item x="334"/>
        <item x="251"/>
        <item x="157"/>
        <item x="70"/>
        <item x="299"/>
        <item x="270"/>
        <item x="254"/>
        <item x="61"/>
        <item x="293"/>
        <item x="295"/>
        <item x="260"/>
        <item x="302"/>
        <item x="192"/>
        <item x="212"/>
        <item x="243"/>
        <item x="2"/>
        <item x="255"/>
        <item x="115"/>
        <item x="138"/>
        <item x="81"/>
        <item x="309"/>
        <item x="52"/>
        <item x="200"/>
        <item x="189"/>
        <item x="269"/>
        <item x="59"/>
        <item x="225"/>
        <item x="257"/>
        <item x="127"/>
        <item x="125"/>
        <item x="247"/>
        <item x="330"/>
        <item x="185"/>
        <item x="164"/>
        <item x="281"/>
        <item x="249"/>
        <item x="236"/>
        <item x="329"/>
        <item x="259"/>
        <item x="46"/>
        <item x="297"/>
        <item x="161"/>
        <item x="252"/>
        <item x="335"/>
        <item x="296"/>
        <item x="233"/>
        <item x="181"/>
        <item x="133"/>
        <item x="184"/>
        <item x="148"/>
        <item x="158"/>
        <item x="85"/>
        <item x="279"/>
        <item x="100"/>
        <item x="217"/>
        <item x="199"/>
        <item x="30"/>
        <item x="37"/>
        <item x="277"/>
        <item x="11"/>
        <item x="99"/>
        <item x="33"/>
        <item x="203"/>
        <item x="194"/>
        <item x="338"/>
        <item x="105"/>
        <item x="51"/>
        <item x="283"/>
        <item x="77"/>
        <item x="68"/>
        <item x="253"/>
        <item x="231"/>
        <item x="93"/>
        <item x="69"/>
        <item x="208"/>
        <item x="153"/>
        <item x="266"/>
        <item x="239"/>
        <item x="12"/>
        <item x="67"/>
        <item x="3"/>
        <item x="240"/>
        <item x="206"/>
        <item x="79"/>
        <item x="27"/>
        <item x="156"/>
        <item x="76"/>
        <item x="221"/>
        <item x="314"/>
        <item x="150"/>
        <item x="135"/>
        <item x="322"/>
        <item x="17"/>
        <item x="304"/>
        <item x="294"/>
        <item x="289"/>
        <item x="224"/>
        <item x="308"/>
        <item x="72"/>
        <item x="287"/>
        <item x="282"/>
        <item x="155"/>
        <item x="267"/>
        <item x="129"/>
        <item x="139"/>
        <item x="262"/>
        <item x="43"/>
        <item x="40"/>
        <item x="121"/>
        <item x="10"/>
        <item x="250"/>
        <item x="332"/>
        <item x="128"/>
        <item x="122"/>
        <item x="209"/>
        <item x="92"/>
        <item x="112"/>
        <item x="134"/>
        <item x="60"/>
        <item x="316"/>
        <item x="57"/>
        <item x="319"/>
        <item x="313"/>
        <item x="171"/>
        <item x="144"/>
        <item x="106"/>
        <item x="228"/>
        <item x="222"/>
        <item x="168"/>
        <item x="35"/>
        <item x="176"/>
        <item x="215"/>
        <item x="177"/>
        <item x="292"/>
        <item x="65"/>
        <item x="71"/>
        <item x="9"/>
        <item x="23"/>
        <item x="152"/>
        <item x="7"/>
        <item x="246"/>
        <item x="16"/>
        <item x="47"/>
        <item x="232"/>
        <item x="324"/>
        <item x="149"/>
        <item x="256"/>
        <item x="325"/>
        <item x="285"/>
        <item x="280"/>
        <item x="261"/>
        <item x="175"/>
        <item x="32"/>
        <item x="86"/>
        <item x="226"/>
        <item x="97"/>
        <item x="91"/>
        <item x="310"/>
        <item x="80"/>
        <item x="137"/>
        <item x="317"/>
        <item x="237"/>
        <item x="45"/>
        <item x="207"/>
        <item x="49"/>
        <item x="218"/>
        <item x="38"/>
        <item x="123"/>
        <item x="272"/>
        <item x="78"/>
        <item x="87"/>
        <item x="53"/>
        <item x="117"/>
        <item x="19"/>
        <item x="21"/>
        <item x="108"/>
        <item x="204"/>
        <item x="191"/>
        <item x="154"/>
        <item x="29"/>
        <item x="56"/>
        <item x="286"/>
        <item x="13"/>
        <item x="238"/>
        <item x="20"/>
        <item x="186"/>
        <item x="173"/>
        <item x="229"/>
        <item x="312"/>
        <item x="213"/>
        <item x="160"/>
        <item x="131"/>
        <item x="318"/>
        <item x="98"/>
        <item x="4"/>
        <item x="321"/>
        <item x="195"/>
        <item x="74"/>
        <item x="284"/>
        <item x="26"/>
        <item x="311"/>
        <item x="119"/>
        <item x="274"/>
        <item x="58"/>
        <item x="136"/>
        <item x="39"/>
        <item x="22"/>
        <item x="159"/>
        <item x="306"/>
        <item x="167"/>
        <item x="179"/>
        <item x="36"/>
        <item x="242"/>
        <item x="227"/>
        <item x="188"/>
        <item x="103"/>
        <item x="170"/>
        <item x="291"/>
        <item x="298"/>
        <item x="118"/>
        <item x="66"/>
        <item x="130"/>
        <item x="14"/>
        <item x="264"/>
        <item x="89"/>
        <item x="143"/>
        <item x="210"/>
        <item x="82"/>
        <item x="132"/>
        <item x="55"/>
        <item x="196"/>
        <item x="34"/>
        <item x="147"/>
        <item x="48"/>
        <item x="180"/>
        <item x="124"/>
        <item x="44"/>
        <item x="219"/>
        <item x="101"/>
        <item x="337"/>
        <item x="271"/>
        <item x="28"/>
        <item x="116"/>
        <item x="41"/>
        <item x="54"/>
        <item x="248"/>
        <item x="245"/>
        <item x="178"/>
        <item x="18"/>
        <item x="273"/>
        <item x="198"/>
        <item x="172"/>
        <item x="96"/>
        <item x="241"/>
        <item x="162"/>
        <item x="83"/>
        <item x="220"/>
        <item x="265"/>
        <item x="331"/>
        <item x="104"/>
        <item x="141"/>
        <item x="5"/>
        <item x="64"/>
        <item x="169"/>
        <item x="88"/>
        <item x="182"/>
        <item x="235"/>
        <item x="202"/>
        <item x="165"/>
        <item x="114"/>
        <item x="42"/>
        <item x="244"/>
        <item x="166"/>
        <item x="197"/>
        <item x="216"/>
        <item x="31"/>
        <item x="174"/>
        <item x="328"/>
        <item x="258"/>
        <item x="151"/>
        <item t="default"/>
      </items>
    </pivotField>
    <pivotField showAll="0">
      <items count="5">
        <item x="0"/>
        <item x="2"/>
        <item x="1"/>
        <item x="3"/>
        <item t="default"/>
      </items>
    </pivotField>
    <pivotField showAll="0">
      <items count="6">
        <item x="4"/>
        <item x="0"/>
        <item x="3"/>
        <item x="1"/>
        <item x="2"/>
        <item t="default"/>
      </items>
    </pivotField>
    <pivotField showAll="0"/>
    <pivotField showAll="0"/>
    <pivotField showAll="0"/>
    <pivotField dataField="1" showAll="0"/>
    <pivotField showAll="0"/>
    <pivotField showAll="0">
      <items count="5">
        <item x="0"/>
        <item x="2"/>
        <item x="1"/>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ales" fld="7" baseField="0" baseItem="0"/>
  </dataFields>
  <chartFormats count="3">
    <chartFormat chart="20"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DDBCFE-17A0-495F-A442-FD59A748F2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1:B47" firstHeaderRow="1" firstDataRow="1" firstDataCol="1"/>
  <pivotFields count="13">
    <pivotField showAll="0"/>
    <pivotField numFmtId="14" showAll="0">
      <items count="340">
        <item x="223"/>
        <item x="1"/>
        <item x="75"/>
        <item x="315"/>
        <item x="0"/>
        <item x="303"/>
        <item x="307"/>
        <item x="327"/>
        <item x="183"/>
        <item x="73"/>
        <item x="111"/>
        <item x="320"/>
        <item x="230"/>
        <item x="84"/>
        <item x="8"/>
        <item x="278"/>
        <item x="326"/>
        <item x="120"/>
        <item x="163"/>
        <item x="50"/>
        <item x="301"/>
        <item x="107"/>
        <item x="113"/>
        <item x="187"/>
        <item x="6"/>
        <item x="142"/>
        <item x="205"/>
        <item x="193"/>
        <item x="15"/>
        <item x="102"/>
        <item x="126"/>
        <item x="201"/>
        <item x="110"/>
        <item x="275"/>
        <item x="109"/>
        <item x="214"/>
        <item x="62"/>
        <item x="190"/>
        <item x="211"/>
        <item x="288"/>
        <item x="276"/>
        <item x="140"/>
        <item x="268"/>
        <item x="145"/>
        <item x="290"/>
        <item x="336"/>
        <item x="95"/>
        <item x="24"/>
        <item x="63"/>
        <item x="305"/>
        <item x="333"/>
        <item x="323"/>
        <item x="90"/>
        <item x="146"/>
        <item x="25"/>
        <item x="300"/>
        <item x="234"/>
        <item x="263"/>
        <item x="94"/>
        <item x="334"/>
        <item x="251"/>
        <item x="157"/>
        <item x="70"/>
        <item x="299"/>
        <item x="270"/>
        <item x="254"/>
        <item x="61"/>
        <item x="293"/>
        <item x="295"/>
        <item x="260"/>
        <item x="302"/>
        <item x="192"/>
        <item x="212"/>
        <item x="243"/>
        <item x="2"/>
        <item x="255"/>
        <item x="115"/>
        <item x="138"/>
        <item x="81"/>
        <item x="309"/>
        <item x="52"/>
        <item x="200"/>
        <item x="189"/>
        <item x="269"/>
        <item x="59"/>
        <item x="225"/>
        <item x="257"/>
        <item x="127"/>
        <item x="125"/>
        <item x="247"/>
        <item x="330"/>
        <item x="185"/>
        <item x="164"/>
        <item x="281"/>
        <item x="249"/>
        <item x="236"/>
        <item x="329"/>
        <item x="259"/>
        <item x="46"/>
        <item x="297"/>
        <item x="161"/>
        <item x="252"/>
        <item x="335"/>
        <item x="296"/>
        <item x="233"/>
        <item x="181"/>
        <item x="133"/>
        <item x="184"/>
        <item x="148"/>
        <item x="158"/>
        <item x="85"/>
        <item x="279"/>
        <item x="100"/>
        <item x="217"/>
        <item x="199"/>
        <item x="30"/>
        <item x="37"/>
        <item x="277"/>
        <item x="11"/>
        <item x="99"/>
        <item x="33"/>
        <item x="203"/>
        <item x="194"/>
        <item x="338"/>
        <item x="105"/>
        <item x="51"/>
        <item x="283"/>
        <item x="77"/>
        <item x="68"/>
        <item x="253"/>
        <item x="231"/>
        <item x="93"/>
        <item x="69"/>
        <item x="208"/>
        <item x="153"/>
        <item x="266"/>
        <item x="239"/>
        <item x="12"/>
        <item x="67"/>
        <item x="3"/>
        <item x="240"/>
        <item x="206"/>
        <item x="79"/>
        <item x="27"/>
        <item x="156"/>
        <item x="76"/>
        <item x="221"/>
        <item x="314"/>
        <item x="150"/>
        <item x="135"/>
        <item x="322"/>
        <item x="17"/>
        <item x="304"/>
        <item x="294"/>
        <item x="289"/>
        <item x="224"/>
        <item x="308"/>
        <item x="72"/>
        <item x="287"/>
        <item x="282"/>
        <item x="155"/>
        <item x="267"/>
        <item x="129"/>
        <item x="139"/>
        <item x="262"/>
        <item x="43"/>
        <item x="40"/>
        <item x="121"/>
        <item x="10"/>
        <item x="250"/>
        <item x="332"/>
        <item x="128"/>
        <item x="122"/>
        <item x="209"/>
        <item x="92"/>
        <item x="112"/>
        <item x="134"/>
        <item x="60"/>
        <item x="316"/>
        <item x="57"/>
        <item x="319"/>
        <item x="313"/>
        <item x="171"/>
        <item x="144"/>
        <item x="106"/>
        <item x="228"/>
        <item x="222"/>
        <item x="168"/>
        <item x="35"/>
        <item x="176"/>
        <item x="215"/>
        <item x="177"/>
        <item x="292"/>
        <item x="65"/>
        <item x="71"/>
        <item x="9"/>
        <item x="23"/>
        <item x="152"/>
        <item x="7"/>
        <item x="246"/>
        <item x="16"/>
        <item x="47"/>
        <item x="232"/>
        <item x="324"/>
        <item x="149"/>
        <item x="256"/>
        <item x="325"/>
        <item x="285"/>
        <item x="280"/>
        <item x="261"/>
        <item x="175"/>
        <item x="32"/>
        <item x="86"/>
        <item x="226"/>
        <item x="97"/>
        <item x="91"/>
        <item x="310"/>
        <item x="80"/>
        <item x="137"/>
        <item x="317"/>
        <item x="237"/>
        <item x="45"/>
        <item x="207"/>
        <item x="49"/>
        <item x="218"/>
        <item x="38"/>
        <item x="123"/>
        <item x="272"/>
        <item x="78"/>
        <item x="87"/>
        <item x="53"/>
        <item x="117"/>
        <item x="19"/>
        <item x="21"/>
        <item x="108"/>
        <item x="204"/>
        <item x="191"/>
        <item x="154"/>
        <item x="29"/>
        <item x="56"/>
        <item x="286"/>
        <item x="13"/>
        <item x="238"/>
        <item x="20"/>
        <item x="186"/>
        <item x="173"/>
        <item x="229"/>
        <item x="312"/>
        <item x="213"/>
        <item x="160"/>
        <item x="131"/>
        <item x="318"/>
        <item x="98"/>
        <item x="4"/>
        <item x="321"/>
        <item x="195"/>
        <item x="74"/>
        <item x="284"/>
        <item x="26"/>
        <item x="311"/>
        <item x="119"/>
        <item x="274"/>
        <item x="58"/>
        <item x="136"/>
        <item x="39"/>
        <item x="22"/>
        <item x="159"/>
        <item x="306"/>
        <item x="167"/>
        <item x="179"/>
        <item x="36"/>
        <item x="242"/>
        <item x="227"/>
        <item x="188"/>
        <item x="103"/>
        <item x="170"/>
        <item x="291"/>
        <item x="298"/>
        <item x="118"/>
        <item x="66"/>
        <item x="130"/>
        <item x="14"/>
        <item x="264"/>
        <item x="89"/>
        <item x="143"/>
        <item x="210"/>
        <item x="82"/>
        <item x="132"/>
        <item x="55"/>
        <item x="196"/>
        <item x="34"/>
        <item x="147"/>
        <item x="48"/>
        <item x="180"/>
        <item x="124"/>
        <item x="44"/>
        <item x="219"/>
        <item x="101"/>
        <item x="337"/>
        <item x="271"/>
        <item x="28"/>
        <item x="116"/>
        <item x="41"/>
        <item x="54"/>
        <item x="248"/>
        <item x="245"/>
        <item x="178"/>
        <item x="18"/>
        <item x="273"/>
        <item x="198"/>
        <item x="172"/>
        <item x="96"/>
        <item x="241"/>
        <item x="162"/>
        <item x="83"/>
        <item x="220"/>
        <item x="265"/>
        <item x="331"/>
        <item x="104"/>
        <item x="141"/>
        <item x="5"/>
        <item x="64"/>
        <item x="169"/>
        <item x="88"/>
        <item x="182"/>
        <item x="235"/>
        <item x="202"/>
        <item x="165"/>
        <item x="114"/>
        <item x="42"/>
        <item x="244"/>
        <item x="166"/>
        <item x="197"/>
        <item x="216"/>
        <item x="31"/>
        <item x="174"/>
        <item x="328"/>
        <item x="258"/>
        <item x="151"/>
        <item t="default"/>
      </items>
    </pivotField>
    <pivotField showAll="0">
      <items count="5">
        <item x="0"/>
        <item x="2"/>
        <item x="1"/>
        <item x="3"/>
        <item t="default"/>
      </items>
    </pivotField>
    <pivotField axis="axisRow" showAll="0" sortType="descending">
      <items count="6">
        <item x="4"/>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5">
        <item x="0"/>
        <item x="2"/>
        <item x="1"/>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4"/>
    </i>
    <i>
      <x v="2"/>
    </i>
    <i>
      <x v="3"/>
    </i>
    <i t="grand">
      <x/>
    </i>
  </rowItems>
  <colItems count="1">
    <i/>
  </colItems>
  <dataFields count="1">
    <dataField name="Sum of profit" fld="8"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5E715F-0934-4F0F-BBB8-810EF6B8E40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B21" firstHeaderRow="1" firstDataRow="1" firstDataCol="1"/>
  <pivotFields count="13">
    <pivotField showAll="0"/>
    <pivotField numFmtId="14" showAll="0">
      <items count="340">
        <item x="223"/>
        <item x="1"/>
        <item x="75"/>
        <item x="315"/>
        <item x="0"/>
        <item x="303"/>
        <item x="307"/>
        <item x="327"/>
        <item x="183"/>
        <item x="73"/>
        <item x="111"/>
        <item x="320"/>
        <item x="230"/>
        <item x="84"/>
        <item x="8"/>
        <item x="278"/>
        <item x="326"/>
        <item x="120"/>
        <item x="163"/>
        <item x="50"/>
        <item x="301"/>
        <item x="107"/>
        <item x="113"/>
        <item x="187"/>
        <item x="6"/>
        <item x="142"/>
        <item x="205"/>
        <item x="193"/>
        <item x="15"/>
        <item x="102"/>
        <item x="126"/>
        <item x="201"/>
        <item x="110"/>
        <item x="275"/>
        <item x="109"/>
        <item x="214"/>
        <item x="62"/>
        <item x="190"/>
        <item x="211"/>
        <item x="288"/>
        <item x="276"/>
        <item x="140"/>
        <item x="268"/>
        <item x="145"/>
        <item x="290"/>
        <item x="336"/>
        <item x="95"/>
        <item x="24"/>
        <item x="63"/>
        <item x="305"/>
        <item x="333"/>
        <item x="323"/>
        <item x="90"/>
        <item x="146"/>
        <item x="25"/>
        <item x="300"/>
        <item x="234"/>
        <item x="263"/>
        <item x="94"/>
        <item x="334"/>
        <item x="251"/>
        <item x="157"/>
        <item x="70"/>
        <item x="299"/>
        <item x="270"/>
        <item x="254"/>
        <item x="61"/>
        <item x="293"/>
        <item x="295"/>
        <item x="260"/>
        <item x="302"/>
        <item x="192"/>
        <item x="212"/>
        <item x="243"/>
        <item x="2"/>
        <item x="255"/>
        <item x="115"/>
        <item x="138"/>
        <item x="81"/>
        <item x="309"/>
        <item x="52"/>
        <item x="200"/>
        <item x="189"/>
        <item x="269"/>
        <item x="59"/>
        <item x="225"/>
        <item x="257"/>
        <item x="127"/>
        <item x="125"/>
        <item x="247"/>
        <item x="330"/>
        <item x="185"/>
        <item x="164"/>
        <item x="281"/>
        <item x="249"/>
        <item x="236"/>
        <item x="329"/>
        <item x="259"/>
        <item x="46"/>
        <item x="297"/>
        <item x="161"/>
        <item x="252"/>
        <item x="335"/>
        <item x="296"/>
        <item x="233"/>
        <item x="181"/>
        <item x="133"/>
        <item x="184"/>
        <item x="148"/>
        <item x="158"/>
        <item x="85"/>
        <item x="279"/>
        <item x="100"/>
        <item x="217"/>
        <item x="199"/>
        <item x="30"/>
        <item x="37"/>
        <item x="277"/>
        <item x="11"/>
        <item x="99"/>
        <item x="33"/>
        <item x="203"/>
        <item x="194"/>
        <item x="338"/>
        <item x="105"/>
        <item x="51"/>
        <item x="283"/>
        <item x="77"/>
        <item x="68"/>
        <item x="253"/>
        <item x="231"/>
        <item x="93"/>
        <item x="69"/>
        <item x="208"/>
        <item x="153"/>
        <item x="266"/>
        <item x="239"/>
        <item x="12"/>
        <item x="67"/>
        <item x="3"/>
        <item x="240"/>
        <item x="206"/>
        <item x="79"/>
        <item x="27"/>
        <item x="156"/>
        <item x="76"/>
        <item x="221"/>
        <item x="314"/>
        <item x="150"/>
        <item x="135"/>
        <item x="322"/>
        <item x="17"/>
        <item x="304"/>
        <item x="294"/>
        <item x="289"/>
        <item x="224"/>
        <item x="308"/>
        <item x="72"/>
        <item x="287"/>
        <item x="282"/>
        <item x="155"/>
        <item x="267"/>
        <item x="129"/>
        <item x="139"/>
        <item x="262"/>
        <item x="43"/>
        <item x="40"/>
        <item x="121"/>
        <item x="10"/>
        <item x="250"/>
        <item x="332"/>
        <item x="128"/>
        <item x="122"/>
        <item x="209"/>
        <item x="92"/>
        <item x="112"/>
        <item x="134"/>
        <item x="60"/>
        <item x="316"/>
        <item x="57"/>
        <item x="319"/>
        <item x="313"/>
        <item x="171"/>
        <item x="144"/>
        <item x="106"/>
        <item x="228"/>
        <item x="222"/>
        <item x="168"/>
        <item x="35"/>
        <item x="176"/>
        <item x="215"/>
        <item x="177"/>
        <item x="292"/>
        <item x="65"/>
        <item x="71"/>
        <item x="9"/>
        <item x="23"/>
        <item x="152"/>
        <item x="7"/>
        <item x="246"/>
        <item x="16"/>
        <item x="47"/>
        <item x="232"/>
        <item x="324"/>
        <item x="149"/>
        <item x="256"/>
        <item x="325"/>
        <item x="285"/>
        <item x="280"/>
        <item x="261"/>
        <item x="175"/>
        <item x="32"/>
        <item x="86"/>
        <item x="226"/>
        <item x="97"/>
        <item x="91"/>
        <item x="310"/>
        <item x="80"/>
        <item x="137"/>
        <item x="317"/>
        <item x="237"/>
        <item x="45"/>
        <item x="207"/>
        <item x="49"/>
        <item x="218"/>
        <item x="38"/>
        <item x="123"/>
        <item x="272"/>
        <item x="78"/>
        <item x="87"/>
        <item x="53"/>
        <item x="117"/>
        <item x="19"/>
        <item x="21"/>
        <item x="108"/>
        <item x="204"/>
        <item x="191"/>
        <item x="154"/>
        <item x="29"/>
        <item x="56"/>
        <item x="286"/>
        <item x="13"/>
        <item x="238"/>
        <item x="20"/>
        <item x="186"/>
        <item x="173"/>
        <item x="229"/>
        <item x="312"/>
        <item x="213"/>
        <item x="160"/>
        <item x="131"/>
        <item x="318"/>
        <item x="98"/>
        <item x="4"/>
        <item x="321"/>
        <item x="195"/>
        <item x="74"/>
        <item x="284"/>
        <item x="26"/>
        <item x="311"/>
        <item x="119"/>
        <item x="274"/>
        <item x="58"/>
        <item x="136"/>
        <item x="39"/>
        <item x="22"/>
        <item x="159"/>
        <item x="306"/>
        <item x="167"/>
        <item x="179"/>
        <item x="36"/>
        <item x="242"/>
        <item x="227"/>
        <item x="188"/>
        <item x="103"/>
        <item x="170"/>
        <item x="291"/>
        <item x="298"/>
        <item x="118"/>
        <item x="66"/>
        <item x="130"/>
        <item x="14"/>
        <item x="264"/>
        <item x="89"/>
        <item x="143"/>
        <item x="210"/>
        <item x="82"/>
        <item x="132"/>
        <item x="55"/>
        <item x="196"/>
        <item x="34"/>
        <item x="147"/>
        <item x="48"/>
        <item x="180"/>
        <item x="124"/>
        <item x="44"/>
        <item x="219"/>
        <item x="101"/>
        <item x="337"/>
        <item x="271"/>
        <item x="28"/>
        <item x="116"/>
        <item x="41"/>
        <item x="54"/>
        <item x="248"/>
        <item x="245"/>
        <item x="178"/>
        <item x="18"/>
        <item x="273"/>
        <item x="198"/>
        <item x="172"/>
        <item x="96"/>
        <item x="241"/>
        <item x="162"/>
        <item x="83"/>
        <item x="220"/>
        <item x="265"/>
        <item x="331"/>
        <item x="104"/>
        <item x="141"/>
        <item x="5"/>
        <item x="64"/>
        <item x="169"/>
        <item x="88"/>
        <item x="182"/>
        <item x="235"/>
        <item x="202"/>
        <item x="165"/>
        <item x="114"/>
        <item x="42"/>
        <item x="244"/>
        <item x="166"/>
        <item x="197"/>
        <item x="216"/>
        <item x="31"/>
        <item x="174"/>
        <item x="328"/>
        <item x="258"/>
        <item x="151"/>
        <item t="default"/>
      </items>
    </pivotField>
    <pivotField axis="axisRow" showAll="0">
      <items count="5">
        <item x="0"/>
        <item x="2"/>
        <item x="1"/>
        <item x="3"/>
        <item t="default"/>
      </items>
    </pivotField>
    <pivotField showAll="0">
      <items count="6">
        <item x="4"/>
        <item x="0"/>
        <item x="3"/>
        <item x="1"/>
        <item x="2"/>
        <item t="default"/>
      </items>
    </pivotField>
    <pivotField showAll="0"/>
    <pivotField showAll="0"/>
    <pivotField showAll="0"/>
    <pivotField dataField="1" showAll="0"/>
    <pivotField showAll="0"/>
    <pivotField showAll="0">
      <items count="5">
        <item x="0"/>
        <item x="2"/>
        <item x="1"/>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i>
    <i>
      <x v="1"/>
    </i>
    <i>
      <x v="2"/>
    </i>
    <i>
      <x v="3"/>
    </i>
    <i t="grand">
      <x/>
    </i>
  </rowItems>
  <colItems count="1">
    <i/>
  </colItems>
  <dataFields count="1">
    <dataField name="Sum of Sales" fld="7"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8B6A16-03D5-4546-980F-2A6AE25A9E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numFmtId="14" showAll="0">
      <items count="340">
        <item x="223"/>
        <item x="1"/>
        <item x="75"/>
        <item x="315"/>
        <item x="0"/>
        <item x="303"/>
        <item x="307"/>
        <item x="327"/>
        <item x="183"/>
        <item x="73"/>
        <item x="111"/>
        <item x="320"/>
        <item x="230"/>
        <item x="84"/>
        <item x="8"/>
        <item x="278"/>
        <item x="326"/>
        <item x="120"/>
        <item x="163"/>
        <item x="50"/>
        <item x="301"/>
        <item x="107"/>
        <item x="113"/>
        <item x="187"/>
        <item x="6"/>
        <item x="142"/>
        <item x="205"/>
        <item x="193"/>
        <item x="15"/>
        <item x="102"/>
        <item x="126"/>
        <item x="201"/>
        <item x="110"/>
        <item x="275"/>
        <item x="109"/>
        <item x="214"/>
        <item x="62"/>
        <item x="190"/>
        <item x="211"/>
        <item x="288"/>
        <item x="276"/>
        <item x="140"/>
        <item x="268"/>
        <item x="145"/>
        <item x="290"/>
        <item x="336"/>
        <item x="95"/>
        <item x="24"/>
        <item x="63"/>
        <item x="305"/>
        <item x="333"/>
        <item x="323"/>
        <item x="90"/>
        <item x="146"/>
        <item x="25"/>
        <item x="300"/>
        <item x="234"/>
        <item x="263"/>
        <item x="94"/>
        <item x="334"/>
        <item x="251"/>
        <item x="157"/>
        <item x="70"/>
        <item x="299"/>
        <item x="270"/>
        <item x="254"/>
        <item x="61"/>
        <item x="293"/>
        <item x="295"/>
        <item x="260"/>
        <item x="302"/>
        <item x="192"/>
        <item x="212"/>
        <item x="243"/>
        <item x="2"/>
        <item x="255"/>
        <item x="115"/>
        <item x="138"/>
        <item x="81"/>
        <item x="309"/>
        <item x="52"/>
        <item x="200"/>
        <item x="189"/>
        <item x="269"/>
        <item x="59"/>
        <item x="225"/>
        <item x="257"/>
        <item x="127"/>
        <item x="125"/>
        <item x="247"/>
        <item x="330"/>
        <item x="185"/>
        <item x="164"/>
        <item x="281"/>
        <item x="249"/>
        <item x="236"/>
        <item x="329"/>
        <item x="259"/>
        <item x="46"/>
        <item x="297"/>
        <item x="161"/>
        <item x="252"/>
        <item x="335"/>
        <item x="296"/>
        <item x="233"/>
        <item x="181"/>
        <item x="133"/>
        <item x="184"/>
        <item x="148"/>
        <item x="158"/>
        <item x="85"/>
        <item x="279"/>
        <item x="100"/>
        <item x="217"/>
        <item x="199"/>
        <item x="30"/>
        <item x="37"/>
        <item x="277"/>
        <item x="11"/>
        <item x="99"/>
        <item x="33"/>
        <item x="203"/>
        <item x="194"/>
        <item x="338"/>
        <item x="105"/>
        <item x="51"/>
        <item x="283"/>
        <item x="77"/>
        <item x="68"/>
        <item x="253"/>
        <item x="231"/>
        <item x="93"/>
        <item x="69"/>
        <item x="208"/>
        <item x="153"/>
        <item x="266"/>
        <item x="239"/>
        <item x="12"/>
        <item x="67"/>
        <item x="3"/>
        <item x="240"/>
        <item x="206"/>
        <item x="79"/>
        <item x="27"/>
        <item x="156"/>
        <item x="76"/>
        <item x="221"/>
        <item x="314"/>
        <item x="150"/>
        <item x="135"/>
        <item x="322"/>
        <item x="17"/>
        <item x="304"/>
        <item x="294"/>
        <item x="289"/>
        <item x="224"/>
        <item x="308"/>
        <item x="72"/>
        <item x="287"/>
        <item x="282"/>
        <item x="155"/>
        <item x="267"/>
        <item x="129"/>
        <item x="139"/>
        <item x="262"/>
        <item x="43"/>
        <item x="40"/>
        <item x="121"/>
        <item x="10"/>
        <item x="250"/>
        <item x="332"/>
        <item x="128"/>
        <item x="122"/>
        <item x="209"/>
        <item x="92"/>
        <item x="112"/>
        <item x="134"/>
        <item x="60"/>
        <item x="316"/>
        <item x="57"/>
        <item x="319"/>
        <item x="313"/>
        <item x="171"/>
        <item x="144"/>
        <item x="106"/>
        <item x="228"/>
        <item x="222"/>
        <item x="168"/>
        <item x="35"/>
        <item x="176"/>
        <item x="215"/>
        <item x="177"/>
        <item x="292"/>
        <item x="65"/>
        <item x="71"/>
        <item x="9"/>
        <item x="23"/>
        <item x="152"/>
        <item x="7"/>
        <item x="246"/>
        <item x="16"/>
        <item x="47"/>
        <item x="232"/>
        <item x="324"/>
        <item x="149"/>
        <item x="256"/>
        <item x="325"/>
        <item x="285"/>
        <item x="280"/>
        <item x="261"/>
        <item x="175"/>
        <item x="32"/>
        <item x="86"/>
        <item x="226"/>
        <item x="97"/>
        <item x="91"/>
        <item x="310"/>
        <item x="80"/>
        <item x="137"/>
        <item x="317"/>
        <item x="237"/>
        <item x="45"/>
        <item x="207"/>
        <item x="49"/>
        <item x="218"/>
        <item x="38"/>
        <item x="123"/>
        <item x="272"/>
        <item x="78"/>
        <item x="87"/>
        <item x="53"/>
        <item x="117"/>
        <item x="19"/>
        <item x="21"/>
        <item x="108"/>
        <item x="204"/>
        <item x="191"/>
        <item x="154"/>
        <item x="29"/>
        <item x="56"/>
        <item x="286"/>
        <item x="13"/>
        <item x="238"/>
        <item x="20"/>
        <item x="186"/>
        <item x="173"/>
        <item x="229"/>
        <item x="312"/>
        <item x="213"/>
        <item x="160"/>
        <item x="131"/>
        <item x="318"/>
        <item x="98"/>
        <item x="4"/>
        <item x="321"/>
        <item x="195"/>
        <item x="74"/>
        <item x="284"/>
        <item x="26"/>
        <item x="311"/>
        <item x="119"/>
        <item x="274"/>
        <item x="58"/>
        <item x="136"/>
        <item x="39"/>
        <item x="22"/>
        <item x="159"/>
        <item x="306"/>
        <item x="167"/>
        <item x="179"/>
        <item x="36"/>
        <item x="242"/>
        <item x="227"/>
        <item x="188"/>
        <item x="103"/>
        <item x="170"/>
        <item x="291"/>
        <item x="298"/>
        <item x="118"/>
        <item x="66"/>
        <item x="130"/>
        <item x="14"/>
        <item x="264"/>
        <item x="89"/>
        <item x="143"/>
        <item x="210"/>
        <item x="82"/>
        <item x="132"/>
        <item x="55"/>
        <item x="196"/>
        <item x="34"/>
        <item x="147"/>
        <item x="48"/>
        <item x="180"/>
        <item x="124"/>
        <item x="44"/>
        <item x="219"/>
        <item x="101"/>
        <item x="337"/>
        <item x="271"/>
        <item x="28"/>
        <item x="116"/>
        <item x="41"/>
        <item x="54"/>
        <item x="248"/>
        <item x="245"/>
        <item x="178"/>
        <item x="18"/>
        <item x="273"/>
        <item x="198"/>
        <item x="172"/>
        <item x="96"/>
        <item x="241"/>
        <item x="162"/>
        <item x="83"/>
        <item x="220"/>
        <item x="265"/>
        <item x="331"/>
        <item x="104"/>
        <item x="141"/>
        <item x="5"/>
        <item x="64"/>
        <item x="169"/>
        <item x="88"/>
        <item x="182"/>
        <item x="235"/>
        <item x="202"/>
        <item x="165"/>
        <item x="114"/>
        <item x="42"/>
        <item x="244"/>
        <item x="166"/>
        <item x="197"/>
        <item x="216"/>
        <item x="31"/>
        <item x="174"/>
        <item x="328"/>
        <item x="258"/>
        <item x="151"/>
        <item t="default"/>
      </items>
    </pivotField>
    <pivotField showAll="0">
      <items count="5">
        <item x="0"/>
        <item x="2"/>
        <item x="1"/>
        <item x="3"/>
        <item t="default"/>
      </items>
    </pivotField>
    <pivotField showAll="0">
      <items count="6">
        <item x="4"/>
        <item x="0"/>
        <item x="3"/>
        <item x="1"/>
        <item x="2"/>
        <item t="default"/>
      </items>
    </pivotField>
    <pivotField showAll="0"/>
    <pivotField dataField="1" showAll="0"/>
    <pivotField showAll="0"/>
    <pivotField dataField="1" showAll="0"/>
    <pivotField dataField="1" showAll="0"/>
    <pivotField showAll="0">
      <items count="5">
        <item x="0"/>
        <item x="2"/>
        <item x="1"/>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4">
    <i>
      <x/>
    </i>
    <i i="1">
      <x v="1"/>
    </i>
    <i i="2">
      <x v="2"/>
    </i>
    <i i="3">
      <x v="3"/>
    </i>
  </colItems>
  <dataFields count="4">
    <dataField name="Count of Order_ID" fld="0" subtotal="count" baseField="0" baseItem="0"/>
    <dataField name="Sum of Sales" fld="7" baseField="0" baseItem="0"/>
    <dataField name="Sum of profit" fld="8" baseField="0" baseItem="0"/>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6E8228-8948-4077-9A91-F8BB94545AB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14:C120" firstHeaderRow="0" firstDataRow="1" firstDataCol="1"/>
  <pivotFields count="13">
    <pivotField showAll="0"/>
    <pivotField numFmtId="14" showAll="0">
      <items count="340">
        <item x="223"/>
        <item x="1"/>
        <item x="75"/>
        <item x="315"/>
        <item x="0"/>
        <item x="303"/>
        <item x="307"/>
        <item x="327"/>
        <item x="183"/>
        <item x="73"/>
        <item x="111"/>
        <item x="320"/>
        <item x="230"/>
        <item x="84"/>
        <item x="8"/>
        <item x="278"/>
        <item x="326"/>
        <item x="120"/>
        <item x="163"/>
        <item x="50"/>
        <item x="301"/>
        <item x="107"/>
        <item x="113"/>
        <item x="187"/>
        <item x="6"/>
        <item x="142"/>
        <item x="205"/>
        <item x="193"/>
        <item x="15"/>
        <item x="102"/>
        <item x="126"/>
        <item x="201"/>
        <item x="110"/>
        <item x="275"/>
        <item x="109"/>
        <item x="214"/>
        <item x="62"/>
        <item x="190"/>
        <item x="211"/>
        <item x="288"/>
        <item x="276"/>
        <item x="140"/>
        <item x="268"/>
        <item x="145"/>
        <item x="290"/>
        <item x="336"/>
        <item x="95"/>
        <item x="24"/>
        <item x="63"/>
        <item x="305"/>
        <item x="333"/>
        <item x="323"/>
        <item x="90"/>
        <item x="146"/>
        <item x="25"/>
        <item x="300"/>
        <item x="234"/>
        <item x="263"/>
        <item x="94"/>
        <item x="334"/>
        <item x="251"/>
        <item x="157"/>
        <item x="70"/>
        <item x="299"/>
        <item x="270"/>
        <item x="254"/>
        <item x="61"/>
        <item x="293"/>
        <item x="295"/>
        <item x="260"/>
        <item x="302"/>
        <item x="192"/>
        <item x="212"/>
        <item x="243"/>
        <item x="2"/>
        <item x="255"/>
        <item x="115"/>
        <item x="138"/>
        <item x="81"/>
        <item x="309"/>
        <item x="52"/>
        <item x="200"/>
        <item x="189"/>
        <item x="269"/>
        <item x="59"/>
        <item x="225"/>
        <item x="257"/>
        <item x="127"/>
        <item x="125"/>
        <item x="247"/>
        <item x="330"/>
        <item x="185"/>
        <item x="164"/>
        <item x="281"/>
        <item x="249"/>
        <item x="236"/>
        <item x="329"/>
        <item x="259"/>
        <item x="46"/>
        <item x="297"/>
        <item x="161"/>
        <item x="252"/>
        <item x="335"/>
        <item x="296"/>
        <item x="233"/>
        <item x="181"/>
        <item x="133"/>
        <item x="184"/>
        <item x="148"/>
        <item x="158"/>
        <item x="85"/>
        <item x="279"/>
        <item x="100"/>
        <item x="217"/>
        <item x="199"/>
        <item x="30"/>
        <item x="37"/>
        <item x="277"/>
        <item x="11"/>
        <item x="99"/>
        <item x="33"/>
        <item x="203"/>
        <item x="194"/>
        <item x="338"/>
        <item x="105"/>
        <item x="51"/>
        <item x="283"/>
        <item x="77"/>
        <item x="68"/>
        <item x="253"/>
        <item x="231"/>
        <item x="93"/>
        <item x="69"/>
        <item x="208"/>
        <item x="153"/>
        <item x="266"/>
        <item x="239"/>
        <item x="12"/>
        <item x="67"/>
        <item x="3"/>
        <item x="240"/>
        <item x="206"/>
        <item x="79"/>
        <item x="27"/>
        <item x="156"/>
        <item x="76"/>
        <item x="221"/>
        <item x="314"/>
        <item x="150"/>
        <item x="135"/>
        <item x="322"/>
        <item x="17"/>
        <item x="304"/>
        <item x="294"/>
        <item x="289"/>
        <item x="224"/>
        <item x="308"/>
        <item x="72"/>
        <item x="287"/>
        <item x="282"/>
        <item x="155"/>
        <item x="267"/>
        <item x="129"/>
        <item x="139"/>
        <item x="262"/>
        <item x="43"/>
        <item x="40"/>
        <item x="121"/>
        <item x="10"/>
        <item x="250"/>
        <item x="332"/>
        <item x="128"/>
        <item x="122"/>
        <item x="209"/>
        <item x="92"/>
        <item x="112"/>
        <item x="134"/>
        <item x="60"/>
        <item x="316"/>
        <item x="57"/>
        <item x="319"/>
        <item x="313"/>
        <item x="171"/>
        <item x="144"/>
        <item x="106"/>
        <item x="228"/>
        <item x="222"/>
        <item x="168"/>
        <item x="35"/>
        <item x="176"/>
        <item x="215"/>
        <item x="177"/>
        <item x="292"/>
        <item x="65"/>
        <item x="71"/>
        <item x="9"/>
        <item x="23"/>
        <item x="152"/>
        <item x="7"/>
        <item x="246"/>
        <item x="16"/>
        <item x="47"/>
        <item x="232"/>
        <item x="324"/>
        <item x="149"/>
        <item x="256"/>
        <item x="325"/>
        <item x="285"/>
        <item x="280"/>
        <item x="261"/>
        <item x="175"/>
        <item x="32"/>
        <item x="86"/>
        <item x="226"/>
        <item x="97"/>
        <item x="91"/>
        <item x="310"/>
        <item x="80"/>
        <item x="137"/>
        <item x="317"/>
        <item x="237"/>
        <item x="45"/>
        <item x="207"/>
        <item x="49"/>
        <item x="218"/>
        <item x="38"/>
        <item x="123"/>
        <item x="272"/>
        <item x="78"/>
        <item x="87"/>
        <item x="53"/>
        <item x="117"/>
        <item x="19"/>
        <item x="21"/>
        <item x="108"/>
        <item x="204"/>
        <item x="191"/>
        <item x="154"/>
        <item x="29"/>
        <item x="56"/>
        <item x="286"/>
        <item x="13"/>
        <item x="238"/>
        <item x="20"/>
        <item x="186"/>
        <item x="173"/>
        <item x="229"/>
        <item x="312"/>
        <item x="213"/>
        <item x="160"/>
        <item x="131"/>
        <item x="318"/>
        <item x="98"/>
        <item x="4"/>
        <item x="321"/>
        <item x="195"/>
        <item x="74"/>
        <item x="284"/>
        <item x="26"/>
        <item x="311"/>
        <item x="119"/>
        <item x="274"/>
        <item x="58"/>
        <item x="136"/>
        <item x="39"/>
        <item x="22"/>
        <item x="159"/>
        <item x="306"/>
        <item x="167"/>
        <item x="179"/>
        <item x="36"/>
        <item x="242"/>
        <item x="227"/>
        <item x="188"/>
        <item x="103"/>
        <item x="170"/>
        <item x="291"/>
        <item x="298"/>
        <item x="118"/>
        <item x="66"/>
        <item x="130"/>
        <item x="14"/>
        <item x="264"/>
        <item x="89"/>
        <item x="143"/>
        <item x="210"/>
        <item x="82"/>
        <item x="132"/>
        <item x="55"/>
        <item x="196"/>
        <item x="34"/>
        <item x="147"/>
        <item x="48"/>
        <item x="180"/>
        <item x="124"/>
        <item x="44"/>
        <item x="219"/>
        <item x="101"/>
        <item x="337"/>
        <item x="271"/>
        <item x="28"/>
        <item x="116"/>
        <item x="41"/>
        <item x="54"/>
        <item x="248"/>
        <item x="245"/>
        <item x="178"/>
        <item x="18"/>
        <item x="273"/>
        <item x="198"/>
        <item x="172"/>
        <item x="96"/>
        <item x="241"/>
        <item x="162"/>
        <item x="83"/>
        <item x="220"/>
        <item x="265"/>
        <item x="331"/>
        <item x="104"/>
        <item x="141"/>
        <item x="5"/>
        <item x="64"/>
        <item x="169"/>
        <item x="88"/>
        <item x="182"/>
        <item x="235"/>
        <item x="202"/>
        <item x="165"/>
        <item x="114"/>
        <item x="42"/>
        <item x="244"/>
        <item x="166"/>
        <item x="197"/>
        <item x="216"/>
        <item x="31"/>
        <item x="174"/>
        <item x="328"/>
        <item x="258"/>
        <item x="151"/>
        <item t="default"/>
      </items>
    </pivotField>
    <pivotField showAll="0">
      <items count="5">
        <item x="0"/>
        <item x="2"/>
        <item x="1"/>
        <item x="3"/>
        <item t="default"/>
      </items>
    </pivotField>
    <pivotField axis="axisRow" showAll="0">
      <items count="6">
        <item x="4"/>
        <item x="0"/>
        <item x="3"/>
        <item x="1"/>
        <item x="2"/>
        <item t="default"/>
      </items>
    </pivotField>
    <pivotField showAll="0"/>
    <pivotField showAll="0"/>
    <pivotField showAll="0"/>
    <pivotField dataField="1" showAll="0"/>
    <pivotField dataField="1" showAll="0"/>
    <pivotField showAll="0">
      <items count="5">
        <item x="0"/>
        <item x="2"/>
        <item x="1"/>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6">
    <i>
      <x/>
    </i>
    <i>
      <x v="1"/>
    </i>
    <i>
      <x v="2"/>
    </i>
    <i>
      <x v="3"/>
    </i>
    <i>
      <x v="4"/>
    </i>
    <i t="grand">
      <x/>
    </i>
  </rowItems>
  <colFields count="1">
    <field x="-2"/>
  </colFields>
  <colItems count="2">
    <i>
      <x/>
    </i>
    <i i="1">
      <x v="1"/>
    </i>
  </colItems>
  <dataFields count="2">
    <dataField name="Sum of Sales" fld="7" baseField="0" baseItem="0"/>
    <dataField name="Sum of profit" fld="8" baseField="0" baseItem="0"/>
  </dataFields>
  <chartFormats count="4">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2C0BCD-7C06-49BA-97C9-0001FDD075F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89:B94" firstHeaderRow="1" firstDataRow="1" firstDataCol="1"/>
  <pivotFields count="13">
    <pivotField showAll="0"/>
    <pivotField numFmtId="14" showAll="0">
      <items count="340">
        <item x="223"/>
        <item x="1"/>
        <item x="75"/>
        <item x="315"/>
        <item x="0"/>
        <item x="303"/>
        <item x="307"/>
        <item x="327"/>
        <item x="183"/>
        <item x="73"/>
        <item x="111"/>
        <item x="320"/>
        <item x="230"/>
        <item x="84"/>
        <item x="8"/>
        <item x="278"/>
        <item x="326"/>
        <item x="120"/>
        <item x="163"/>
        <item x="50"/>
        <item x="301"/>
        <item x="107"/>
        <item x="113"/>
        <item x="187"/>
        <item x="6"/>
        <item x="142"/>
        <item x="205"/>
        <item x="193"/>
        <item x="15"/>
        <item x="102"/>
        <item x="126"/>
        <item x="201"/>
        <item x="110"/>
        <item x="275"/>
        <item x="109"/>
        <item x="214"/>
        <item x="62"/>
        <item x="190"/>
        <item x="211"/>
        <item x="288"/>
        <item x="276"/>
        <item x="140"/>
        <item x="268"/>
        <item x="145"/>
        <item x="290"/>
        <item x="336"/>
        <item x="95"/>
        <item x="24"/>
        <item x="63"/>
        <item x="305"/>
        <item x="333"/>
        <item x="323"/>
        <item x="90"/>
        <item x="146"/>
        <item x="25"/>
        <item x="300"/>
        <item x="234"/>
        <item x="263"/>
        <item x="94"/>
        <item x="334"/>
        <item x="251"/>
        <item x="157"/>
        <item x="70"/>
        <item x="299"/>
        <item x="270"/>
        <item x="254"/>
        <item x="61"/>
        <item x="293"/>
        <item x="295"/>
        <item x="260"/>
        <item x="302"/>
        <item x="192"/>
        <item x="212"/>
        <item x="243"/>
        <item x="2"/>
        <item x="255"/>
        <item x="115"/>
        <item x="138"/>
        <item x="81"/>
        <item x="309"/>
        <item x="52"/>
        <item x="200"/>
        <item x="189"/>
        <item x="269"/>
        <item x="59"/>
        <item x="225"/>
        <item x="257"/>
        <item x="127"/>
        <item x="125"/>
        <item x="247"/>
        <item x="330"/>
        <item x="185"/>
        <item x="164"/>
        <item x="281"/>
        <item x="249"/>
        <item x="236"/>
        <item x="329"/>
        <item x="259"/>
        <item x="46"/>
        <item x="297"/>
        <item x="161"/>
        <item x="252"/>
        <item x="335"/>
        <item x="296"/>
        <item x="233"/>
        <item x="181"/>
        <item x="133"/>
        <item x="184"/>
        <item x="148"/>
        <item x="158"/>
        <item x="85"/>
        <item x="279"/>
        <item x="100"/>
        <item x="217"/>
        <item x="199"/>
        <item x="30"/>
        <item x="37"/>
        <item x="277"/>
        <item x="11"/>
        <item x="99"/>
        <item x="33"/>
        <item x="203"/>
        <item x="194"/>
        <item x="338"/>
        <item x="105"/>
        <item x="51"/>
        <item x="283"/>
        <item x="77"/>
        <item x="68"/>
        <item x="253"/>
        <item x="231"/>
        <item x="93"/>
        <item x="69"/>
        <item x="208"/>
        <item x="153"/>
        <item x="266"/>
        <item x="239"/>
        <item x="12"/>
        <item x="67"/>
        <item x="3"/>
        <item x="240"/>
        <item x="206"/>
        <item x="79"/>
        <item x="27"/>
        <item x="156"/>
        <item x="76"/>
        <item x="221"/>
        <item x="314"/>
        <item x="150"/>
        <item x="135"/>
        <item x="322"/>
        <item x="17"/>
        <item x="304"/>
        <item x="294"/>
        <item x="289"/>
        <item x="224"/>
        <item x="308"/>
        <item x="72"/>
        <item x="287"/>
        <item x="282"/>
        <item x="155"/>
        <item x="267"/>
        <item x="129"/>
        <item x="139"/>
        <item x="262"/>
        <item x="43"/>
        <item x="40"/>
        <item x="121"/>
        <item x="10"/>
        <item x="250"/>
        <item x="332"/>
        <item x="128"/>
        <item x="122"/>
        <item x="209"/>
        <item x="92"/>
        <item x="112"/>
        <item x="134"/>
        <item x="60"/>
        <item x="316"/>
        <item x="57"/>
        <item x="319"/>
        <item x="313"/>
        <item x="171"/>
        <item x="144"/>
        <item x="106"/>
        <item x="228"/>
        <item x="222"/>
        <item x="168"/>
        <item x="35"/>
        <item x="176"/>
        <item x="215"/>
        <item x="177"/>
        <item x="292"/>
        <item x="65"/>
        <item x="71"/>
        <item x="9"/>
        <item x="23"/>
        <item x="152"/>
        <item x="7"/>
        <item x="246"/>
        <item x="16"/>
        <item x="47"/>
        <item x="232"/>
        <item x="324"/>
        <item x="149"/>
        <item x="256"/>
        <item x="325"/>
        <item x="285"/>
        <item x="280"/>
        <item x="261"/>
        <item x="175"/>
        <item x="32"/>
        <item x="86"/>
        <item x="226"/>
        <item x="97"/>
        <item x="91"/>
        <item x="310"/>
        <item x="80"/>
        <item x="137"/>
        <item x="317"/>
        <item x="237"/>
        <item x="45"/>
        <item x="207"/>
        <item x="49"/>
        <item x="218"/>
        <item x="38"/>
        <item x="123"/>
        <item x="272"/>
        <item x="78"/>
        <item x="87"/>
        <item x="53"/>
        <item x="117"/>
        <item x="19"/>
        <item x="21"/>
        <item x="108"/>
        <item x="204"/>
        <item x="191"/>
        <item x="154"/>
        <item x="29"/>
        <item x="56"/>
        <item x="286"/>
        <item x="13"/>
        <item x="238"/>
        <item x="20"/>
        <item x="186"/>
        <item x="173"/>
        <item x="229"/>
        <item x="312"/>
        <item x="213"/>
        <item x="160"/>
        <item x="131"/>
        <item x="318"/>
        <item x="98"/>
        <item x="4"/>
        <item x="321"/>
        <item x="195"/>
        <item x="74"/>
        <item x="284"/>
        <item x="26"/>
        <item x="311"/>
        <item x="119"/>
        <item x="274"/>
        <item x="58"/>
        <item x="136"/>
        <item x="39"/>
        <item x="22"/>
        <item x="159"/>
        <item x="306"/>
        <item x="167"/>
        <item x="179"/>
        <item x="36"/>
        <item x="242"/>
        <item x="227"/>
        <item x="188"/>
        <item x="103"/>
        <item x="170"/>
        <item x="291"/>
        <item x="298"/>
        <item x="118"/>
        <item x="66"/>
        <item x="130"/>
        <item x="14"/>
        <item x="264"/>
        <item x="89"/>
        <item x="143"/>
        <item x="210"/>
        <item x="82"/>
        <item x="132"/>
        <item x="55"/>
        <item x="196"/>
        <item x="34"/>
        <item x="147"/>
        <item x="48"/>
        <item x="180"/>
        <item x="124"/>
        <item x="44"/>
        <item x="219"/>
        <item x="101"/>
        <item x="337"/>
        <item x="271"/>
        <item x="28"/>
        <item x="116"/>
        <item x="41"/>
        <item x="54"/>
        <item x="248"/>
        <item x="245"/>
        <item x="178"/>
        <item x="18"/>
        <item x="273"/>
        <item x="198"/>
        <item x="172"/>
        <item x="96"/>
        <item x="241"/>
        <item x="162"/>
        <item x="83"/>
        <item x="220"/>
        <item x="265"/>
        <item x="331"/>
        <item x="104"/>
        <item x="141"/>
        <item x="5"/>
        <item x="64"/>
        <item x="169"/>
        <item x="88"/>
        <item x="182"/>
        <item x="235"/>
        <item x="202"/>
        <item x="165"/>
        <item x="114"/>
        <item x="42"/>
        <item x="244"/>
        <item x="166"/>
        <item x="197"/>
        <item x="216"/>
        <item x="31"/>
        <item x="174"/>
        <item x="328"/>
        <item x="258"/>
        <item x="151"/>
        <item t="default"/>
      </items>
    </pivotField>
    <pivotField showAll="0">
      <items count="5">
        <item x="0"/>
        <item x="2"/>
        <item x="1"/>
        <item x="3"/>
        <item t="default"/>
      </items>
    </pivotField>
    <pivotField showAll="0">
      <items count="6">
        <item x="4"/>
        <item x="0"/>
        <item x="3"/>
        <item x="1"/>
        <item x="2"/>
        <item t="default"/>
      </items>
    </pivotField>
    <pivotField showAll="0"/>
    <pivotField showAll="0"/>
    <pivotField showAll="0"/>
    <pivotField dataField="1" showAll="0"/>
    <pivotField showAll="0"/>
    <pivotField axis="axisRow" showAll="0">
      <items count="5">
        <item x="0"/>
        <item x="2"/>
        <item x="1"/>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5">
    <i>
      <x/>
    </i>
    <i>
      <x v="1"/>
    </i>
    <i>
      <x v="2"/>
    </i>
    <i>
      <x v="3"/>
    </i>
    <i t="grand">
      <x/>
    </i>
  </rowItems>
  <colItems count="1">
    <i/>
  </colItems>
  <dataFields count="1">
    <dataField name="Sum of Sales" fld="7" baseField="0" baseItem="0"/>
  </dataFields>
  <chartFormats count="15">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9" count="1" selected="0">
            <x v="0"/>
          </reference>
        </references>
      </pivotArea>
    </chartFormat>
    <chartFormat chart="22" format="2">
      <pivotArea type="data" outline="0" fieldPosition="0">
        <references count="2">
          <reference field="4294967294" count="1" selected="0">
            <x v="0"/>
          </reference>
          <reference field="9" count="1" selected="0">
            <x v="1"/>
          </reference>
        </references>
      </pivotArea>
    </chartFormat>
    <chartFormat chart="22" format="3">
      <pivotArea type="data" outline="0" fieldPosition="0">
        <references count="2">
          <reference field="4294967294" count="1" selected="0">
            <x v="0"/>
          </reference>
          <reference field="9" count="1" selected="0">
            <x v="2"/>
          </reference>
        </references>
      </pivotArea>
    </chartFormat>
    <chartFormat chart="22" format="4">
      <pivotArea type="data" outline="0" fieldPosition="0">
        <references count="2">
          <reference field="4294967294" count="1" selected="0">
            <x v="0"/>
          </reference>
          <reference field="9" count="1" selected="0">
            <x v="3"/>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9" count="1" selected="0">
            <x v="0"/>
          </reference>
        </references>
      </pivotArea>
    </chartFormat>
    <chartFormat chart="26" format="7">
      <pivotArea type="data" outline="0" fieldPosition="0">
        <references count="2">
          <reference field="4294967294" count="1" selected="0">
            <x v="0"/>
          </reference>
          <reference field="9" count="1" selected="0">
            <x v="1"/>
          </reference>
        </references>
      </pivotArea>
    </chartFormat>
    <chartFormat chart="26" format="8">
      <pivotArea type="data" outline="0" fieldPosition="0">
        <references count="2">
          <reference field="4294967294" count="1" selected="0">
            <x v="0"/>
          </reference>
          <reference field="9" count="1" selected="0">
            <x v="2"/>
          </reference>
        </references>
      </pivotArea>
    </chartFormat>
    <chartFormat chart="26" format="9">
      <pivotArea type="data" outline="0" fieldPosition="0">
        <references count="2">
          <reference field="4294967294" count="1" selected="0">
            <x v="0"/>
          </reference>
          <reference field="9" count="1" selected="0">
            <x v="3"/>
          </reference>
        </references>
      </pivotArea>
    </chartFormat>
    <chartFormat chart="27" format="10" series="1">
      <pivotArea type="data" outline="0" fieldPosition="0">
        <references count="1">
          <reference field="4294967294" count="1" selected="0">
            <x v="0"/>
          </reference>
        </references>
      </pivotArea>
    </chartFormat>
    <chartFormat chart="27" format="11">
      <pivotArea type="data" outline="0" fieldPosition="0">
        <references count="2">
          <reference field="4294967294" count="1" selected="0">
            <x v="0"/>
          </reference>
          <reference field="9" count="1" selected="0">
            <x v="0"/>
          </reference>
        </references>
      </pivotArea>
    </chartFormat>
    <chartFormat chart="27" format="12">
      <pivotArea type="data" outline="0" fieldPosition="0">
        <references count="2">
          <reference field="4294967294" count="1" selected="0">
            <x v="0"/>
          </reference>
          <reference field="9" count="1" selected="0">
            <x v="1"/>
          </reference>
        </references>
      </pivotArea>
    </chartFormat>
    <chartFormat chart="27" format="13">
      <pivotArea type="data" outline="0" fieldPosition="0">
        <references count="2">
          <reference field="4294967294" count="1" selected="0">
            <x v="0"/>
          </reference>
          <reference field="9" count="1" selected="0">
            <x v="2"/>
          </reference>
        </references>
      </pivotArea>
    </chartFormat>
    <chartFormat chart="27"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49B5DC-98A6-4499-9946-34FE6A3D488D}" sourceName="Region">
  <pivotTables>
    <pivotTable tabId="3" name="PivotTable2"/>
    <pivotTable tabId="3" name="PivotTable1"/>
    <pivotTable tabId="3" name="PivotTable3"/>
    <pivotTable tabId="3" name="PivotTable4"/>
    <pivotTable tabId="3" name="PivotTable5"/>
    <pivotTable tabId="3" name="PivotTable6"/>
  </pivotTables>
  <data>
    <tabular pivotCacheId="1893935670">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BA79C8-2425-4FF0-B7C9-466C2B390E01}" sourceName="Category">
  <pivotTables>
    <pivotTable tabId="3" name="PivotTable2"/>
    <pivotTable tabId="3" name="PivotTable1"/>
    <pivotTable tabId="3" name="PivotTable3"/>
    <pivotTable tabId="3" name="PivotTable4"/>
    <pivotTable tabId="3" name="PivotTable5"/>
    <pivotTable tabId="3" name="PivotTable6"/>
  </pivotTables>
  <data>
    <tabular pivotCacheId="1893935670">
      <items count="5">
        <i x="4" s="1"/>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4A9A359-BD59-4A81-87AE-CBA4ECA5FA8E}" sourceName="Payment_Mode">
  <pivotTables>
    <pivotTable tabId="3" name="PivotTable2"/>
    <pivotTable tabId="3" name="PivotTable1"/>
    <pivotTable tabId="3" name="PivotTable3"/>
    <pivotTable tabId="3" name="PivotTable4"/>
    <pivotTable tabId="3" name="PivotTable5"/>
    <pivotTable tabId="3" name="PivotTable6"/>
  </pivotTables>
  <data>
    <tabular pivotCacheId="1893935670">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EBC0D56-BD0E-4016-AC62-EB84CA5B86DC}" cache="Slicer_Region" caption="Region" columnCount="2" style="SlicerStyleDark1" rowHeight="241300"/>
  <slicer name="Category" xr10:uid="{F4B36D22-D43B-4BAF-9544-6641B921A462}" cache="Slicer_Category" caption="Category" columnCount="2" style="SlicerStyleDark1" rowHeight="241300"/>
  <slicer name="Payment_Mode" xr10:uid="{6A4B383B-72A4-4982-A297-3E469740664A}" cache="Slicer_Payment_Mode" caption="Payment_Mode" columnCount="2"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9F7721-61D7-492B-BE4E-C71DEC490284}" name="Table1" displayName="Table1" ref="A1:J1001" totalsRowShown="0">
  <autoFilter ref="A1:J1001" xr:uid="{B09F7721-61D7-492B-BE4E-C71DEC490284}"/>
  <tableColumns count="10">
    <tableColumn id="1" xr3:uid="{056F6639-6A5E-46F0-8510-09C20FE81405}" name="Order_ID"/>
    <tableColumn id="2" xr3:uid="{0EBD0822-E62A-4DC1-B359-90BF41FD4888}" name="Order_Date" dataDxfId="0"/>
    <tableColumn id="3" xr3:uid="{B08A005B-33B0-4493-9F1A-8796283275CB}" name="Region"/>
    <tableColumn id="4" xr3:uid="{7182A287-3D84-47B9-91FE-F7418D2A3347}" name="Category"/>
    <tableColumn id="5" xr3:uid="{7BC494B2-BE66-475A-BB17-FCE0A219CCD6}" name="Product_Name"/>
    <tableColumn id="6" xr3:uid="{D3F981C8-E343-4440-8F2A-AD2E47C8E032}" name="Quantity"/>
    <tableColumn id="7" xr3:uid="{03F3E9BD-A647-4DFE-B5EF-FFF645A51871}" name="Unit_Price"/>
    <tableColumn id="8" xr3:uid="{6EB671DB-F271-4E73-BFA0-34141E0775E7}" name="Sales"/>
    <tableColumn id="9" xr3:uid="{EBA63839-1412-423D-ABB3-E55293A2C49A}" name="profit"/>
    <tableColumn id="10" xr3:uid="{A468F855-8183-4F40-A2D4-285943C7BA57}" name="Payment_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1ADC3-6572-4C22-8828-3CC37F650818}">
  <dimension ref="A3:K120"/>
  <sheetViews>
    <sheetView tabSelected="1" workbookViewId="0">
      <selection activeCell="K105" sqref="K105"/>
    </sheetView>
  </sheetViews>
  <sheetFormatPr defaultRowHeight="14.5" x14ac:dyDescent="0.35"/>
  <cols>
    <col min="1" max="1" width="14.26953125" bestFit="1" customWidth="1"/>
    <col min="2" max="2" width="11.26953125" bestFit="1" customWidth="1"/>
    <col min="3" max="3" width="11.81640625" bestFit="1" customWidth="1"/>
    <col min="4" max="4" width="14.54296875" bestFit="1" customWidth="1"/>
  </cols>
  <sheetData>
    <row r="3" spans="1:11" x14ac:dyDescent="0.35">
      <c r="A3" t="s">
        <v>1073</v>
      </c>
      <c r="B3" t="s">
        <v>1074</v>
      </c>
      <c r="C3" t="s">
        <v>1075</v>
      </c>
      <c r="D3" t="s">
        <v>1076</v>
      </c>
      <c r="H3" t="s">
        <v>1077</v>
      </c>
      <c r="I3" t="s">
        <v>1078</v>
      </c>
      <c r="J3" t="s">
        <v>1072</v>
      </c>
      <c r="K3" t="s">
        <v>1079</v>
      </c>
    </row>
    <row r="4" spans="1:11" x14ac:dyDescent="0.35">
      <c r="A4">
        <v>1000</v>
      </c>
      <c r="B4">
        <v>14991521</v>
      </c>
      <c r="C4">
        <v>3742351</v>
      </c>
      <c r="D4">
        <v>5442</v>
      </c>
      <c r="H4" t="str">
        <f>TEXT(A4/1000,"0.0")&amp;"k"</f>
        <v>1.0k</v>
      </c>
      <c r="I4" t="str">
        <f>TEXT(B4/100000,"0.0")&amp;"k"</f>
        <v>149.9k</v>
      </c>
      <c r="J4" t="str">
        <f>TEXT(C4/100000,"0.0")&amp;"k"</f>
        <v>37.4k</v>
      </c>
      <c r="K4" t="str">
        <f>TEXT(D4/1000,"0.0")&amp;"k"</f>
        <v>5.4k</v>
      </c>
    </row>
    <row r="14" spans="1:11" x14ac:dyDescent="0.35">
      <c r="A14" s="4" t="s">
        <v>1094</v>
      </c>
      <c r="B14" s="4"/>
      <c r="C14" s="4"/>
    </row>
    <row r="16" spans="1:11" x14ac:dyDescent="0.35">
      <c r="A16" s="2" t="s">
        <v>1080</v>
      </c>
      <c r="B16" t="s">
        <v>1074</v>
      </c>
    </row>
    <row r="17" spans="1:2" x14ac:dyDescent="0.35">
      <c r="A17" s="3" t="s">
        <v>10</v>
      </c>
      <c r="B17">
        <v>3538565</v>
      </c>
    </row>
    <row r="18" spans="1:2" x14ac:dyDescent="0.35">
      <c r="A18" s="3" t="s">
        <v>24</v>
      </c>
      <c r="B18">
        <v>3787006</v>
      </c>
    </row>
    <row r="19" spans="1:2" x14ac:dyDescent="0.35">
      <c r="A19" s="3" t="s">
        <v>19</v>
      </c>
      <c r="B19">
        <v>4050365</v>
      </c>
    </row>
    <row r="20" spans="1:2" x14ac:dyDescent="0.35">
      <c r="A20" s="3" t="s">
        <v>30</v>
      </c>
      <c r="B20">
        <v>3615585</v>
      </c>
    </row>
    <row r="21" spans="1:2" x14ac:dyDescent="0.35">
      <c r="A21" s="3" t="s">
        <v>1081</v>
      </c>
      <c r="B21">
        <v>14991521</v>
      </c>
    </row>
    <row r="39" spans="1:3" x14ac:dyDescent="0.35">
      <c r="A39" s="4" t="s">
        <v>1095</v>
      </c>
      <c r="B39" s="4"/>
      <c r="C39" s="4"/>
    </row>
    <row r="41" spans="1:3" x14ac:dyDescent="0.35">
      <c r="A41" s="2" t="s">
        <v>1080</v>
      </c>
      <c r="B41" t="s">
        <v>1075</v>
      </c>
    </row>
    <row r="42" spans="1:3" x14ac:dyDescent="0.35">
      <c r="A42" s="3" t="s">
        <v>40</v>
      </c>
      <c r="B42">
        <v>862157</v>
      </c>
    </row>
    <row r="43" spans="1:3" x14ac:dyDescent="0.35">
      <c r="A43" s="3" t="s">
        <v>11</v>
      </c>
      <c r="B43">
        <v>780386</v>
      </c>
    </row>
    <row r="44" spans="1:3" x14ac:dyDescent="0.35">
      <c r="A44" s="3" t="s">
        <v>20</v>
      </c>
      <c r="B44">
        <v>716981</v>
      </c>
    </row>
    <row r="45" spans="1:3" x14ac:dyDescent="0.35">
      <c r="A45" s="3" t="s">
        <v>25</v>
      </c>
      <c r="B45">
        <v>711010</v>
      </c>
    </row>
    <row r="46" spans="1:3" x14ac:dyDescent="0.35">
      <c r="A46" s="3" t="s">
        <v>15</v>
      </c>
      <c r="B46">
        <v>671817</v>
      </c>
    </row>
    <row r="47" spans="1:3" x14ac:dyDescent="0.35">
      <c r="A47" s="3" t="s">
        <v>1081</v>
      </c>
      <c r="B47">
        <v>3742351</v>
      </c>
    </row>
    <row r="61" spans="1:3" x14ac:dyDescent="0.35">
      <c r="A61" s="4" t="s">
        <v>1096</v>
      </c>
      <c r="B61" s="4"/>
      <c r="C61" s="4"/>
    </row>
    <row r="63" spans="1:3" x14ac:dyDescent="0.35">
      <c r="A63" s="2" t="s">
        <v>1080</v>
      </c>
      <c r="B63" t="s">
        <v>1074</v>
      </c>
    </row>
    <row r="64" spans="1:3" x14ac:dyDescent="0.35">
      <c r="A64" s="3" t="s">
        <v>1082</v>
      </c>
      <c r="B64">
        <v>1613284</v>
      </c>
    </row>
    <row r="65" spans="1:2" x14ac:dyDescent="0.35">
      <c r="A65" s="3" t="s">
        <v>1083</v>
      </c>
      <c r="B65">
        <v>1096645</v>
      </c>
    </row>
    <row r="66" spans="1:2" x14ac:dyDescent="0.35">
      <c r="A66" s="3" t="s">
        <v>1084</v>
      </c>
      <c r="B66">
        <v>1198348</v>
      </c>
    </row>
    <row r="67" spans="1:2" x14ac:dyDescent="0.35">
      <c r="A67" s="3" t="s">
        <v>1085</v>
      </c>
      <c r="B67">
        <v>1358464</v>
      </c>
    </row>
    <row r="68" spans="1:2" x14ac:dyDescent="0.35">
      <c r="A68" s="3" t="s">
        <v>1086</v>
      </c>
      <c r="B68">
        <v>1233497</v>
      </c>
    </row>
    <row r="69" spans="1:2" x14ac:dyDescent="0.35">
      <c r="A69" s="3" t="s">
        <v>1087</v>
      </c>
      <c r="B69">
        <v>1156197</v>
      </c>
    </row>
    <row r="70" spans="1:2" x14ac:dyDescent="0.35">
      <c r="A70" s="3" t="s">
        <v>1088</v>
      </c>
      <c r="B70">
        <v>1254561</v>
      </c>
    </row>
    <row r="71" spans="1:2" x14ac:dyDescent="0.35">
      <c r="A71" s="3" t="s">
        <v>1089</v>
      </c>
      <c r="B71">
        <v>987609</v>
      </c>
    </row>
    <row r="72" spans="1:2" x14ac:dyDescent="0.35">
      <c r="A72" s="3" t="s">
        <v>1090</v>
      </c>
      <c r="B72">
        <v>1201749</v>
      </c>
    </row>
    <row r="73" spans="1:2" x14ac:dyDescent="0.35">
      <c r="A73" s="3" t="s">
        <v>1091</v>
      </c>
      <c r="B73">
        <v>1296629</v>
      </c>
    </row>
    <row r="74" spans="1:2" x14ac:dyDescent="0.35">
      <c r="A74" s="3" t="s">
        <v>1092</v>
      </c>
      <c r="B74">
        <v>1310826</v>
      </c>
    </row>
    <row r="75" spans="1:2" x14ac:dyDescent="0.35">
      <c r="A75" s="3" t="s">
        <v>1093</v>
      </c>
      <c r="B75">
        <v>1283712</v>
      </c>
    </row>
    <row r="76" spans="1:2" x14ac:dyDescent="0.35">
      <c r="A76" s="3" t="s">
        <v>1081</v>
      </c>
      <c r="B76">
        <v>14991521</v>
      </c>
    </row>
    <row r="89" spans="1:2" x14ac:dyDescent="0.35">
      <c r="A89" s="2" t="s">
        <v>1080</v>
      </c>
      <c r="B89" t="s">
        <v>1074</v>
      </c>
    </row>
    <row r="90" spans="1:2" x14ac:dyDescent="0.35">
      <c r="A90" s="3" t="s">
        <v>13</v>
      </c>
      <c r="B90">
        <v>3818055</v>
      </c>
    </row>
    <row r="91" spans="1:2" x14ac:dyDescent="0.35">
      <c r="A91" s="3" t="s">
        <v>22</v>
      </c>
      <c r="B91">
        <v>3673184</v>
      </c>
    </row>
    <row r="92" spans="1:2" x14ac:dyDescent="0.35">
      <c r="A92" s="3" t="s">
        <v>17</v>
      </c>
      <c r="B92">
        <v>3653871</v>
      </c>
    </row>
    <row r="93" spans="1:2" x14ac:dyDescent="0.35">
      <c r="A93" s="3" t="s">
        <v>32</v>
      </c>
      <c r="B93">
        <v>3846411</v>
      </c>
    </row>
    <row r="94" spans="1:2" x14ac:dyDescent="0.35">
      <c r="A94" s="3" t="s">
        <v>1081</v>
      </c>
      <c r="B94">
        <v>14991521</v>
      </c>
    </row>
    <row r="114" spans="1:3" x14ac:dyDescent="0.35">
      <c r="A114" s="2" t="s">
        <v>1080</v>
      </c>
      <c r="B114" t="s">
        <v>1074</v>
      </c>
      <c r="C114" t="s">
        <v>1075</v>
      </c>
    </row>
    <row r="115" spans="1:3" x14ac:dyDescent="0.35">
      <c r="A115" s="3" t="s">
        <v>40</v>
      </c>
      <c r="B115">
        <v>3326568</v>
      </c>
      <c r="C115">
        <v>862157</v>
      </c>
    </row>
    <row r="116" spans="1:3" x14ac:dyDescent="0.35">
      <c r="A116" s="3" t="s">
        <v>11</v>
      </c>
      <c r="B116">
        <v>3153526</v>
      </c>
      <c r="C116">
        <v>780386</v>
      </c>
    </row>
    <row r="117" spans="1:3" x14ac:dyDescent="0.35">
      <c r="A117" s="3" t="s">
        <v>25</v>
      </c>
      <c r="B117">
        <v>2909510</v>
      </c>
      <c r="C117">
        <v>711010</v>
      </c>
    </row>
    <row r="118" spans="1:3" x14ac:dyDescent="0.35">
      <c r="A118" s="3" t="s">
        <v>15</v>
      </c>
      <c r="B118">
        <v>2723200</v>
      </c>
      <c r="C118">
        <v>671817</v>
      </c>
    </row>
    <row r="119" spans="1:3" x14ac:dyDescent="0.35">
      <c r="A119" s="3" t="s">
        <v>20</v>
      </c>
      <c r="B119">
        <v>2878717</v>
      </c>
      <c r="C119">
        <v>716981</v>
      </c>
    </row>
    <row r="120" spans="1:3" x14ac:dyDescent="0.35">
      <c r="A120" s="3" t="s">
        <v>1081</v>
      </c>
      <c r="B120">
        <v>14991521</v>
      </c>
      <c r="C120">
        <v>3742351</v>
      </c>
    </row>
  </sheetData>
  <mergeCells count="3">
    <mergeCell ref="A14:C14"/>
    <mergeCell ref="A39:C39"/>
    <mergeCell ref="A61:C61"/>
  </mergeCell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1FBFF-4BD9-41A0-9096-7BD9318F9EAF}">
  <dimension ref="A1"/>
  <sheetViews>
    <sheetView showGridLines="0" workbookViewId="0">
      <selection activeCell="R157" sqref="R15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AEAF9-7AE1-4CE2-83F5-3A42DF6CCB26}">
  <dimension ref="A1:J1001"/>
  <sheetViews>
    <sheetView topLeftCell="A2" workbookViewId="0">
      <selection sqref="A1:J1001"/>
    </sheetView>
  </sheetViews>
  <sheetFormatPr defaultRowHeight="14.5" x14ac:dyDescent="0.35"/>
  <cols>
    <col min="1" max="1" width="10.54296875" customWidth="1"/>
    <col min="2" max="2" width="12.7265625" customWidth="1"/>
    <col min="4" max="4" width="10.26953125" customWidth="1"/>
    <col min="5" max="5" width="15.36328125" customWidth="1"/>
    <col min="6" max="6" width="10.1796875" customWidth="1"/>
    <col min="7" max="7" width="11.453125" customWidth="1"/>
    <col min="9" max="9" width="11.7265625" customWidth="1"/>
    <col min="10" max="10" width="16.1796875" customWidth="1"/>
    <col min="11" max="11" width="8.7265625" customWidth="1"/>
  </cols>
  <sheetData>
    <row r="1" spans="1:10" x14ac:dyDescent="0.35">
      <c r="A1" t="s">
        <v>0</v>
      </c>
      <c r="B1" t="s">
        <v>1</v>
      </c>
      <c r="C1" t="s">
        <v>2</v>
      </c>
      <c r="D1" t="s">
        <v>3</v>
      </c>
      <c r="E1" t="s">
        <v>4</v>
      </c>
      <c r="F1" t="s">
        <v>5</v>
      </c>
      <c r="G1" t="s">
        <v>6</v>
      </c>
      <c r="H1" t="s">
        <v>7</v>
      </c>
      <c r="I1" t="s">
        <v>1072</v>
      </c>
      <c r="J1" t="s">
        <v>8</v>
      </c>
    </row>
    <row r="2" spans="1:10" x14ac:dyDescent="0.35">
      <c r="A2" t="s">
        <v>9</v>
      </c>
      <c r="B2" s="1">
        <v>44931</v>
      </c>
      <c r="C2" t="s">
        <v>10</v>
      </c>
      <c r="D2" t="s">
        <v>11</v>
      </c>
      <c r="E2" t="s">
        <v>12</v>
      </c>
      <c r="F2">
        <v>5</v>
      </c>
      <c r="G2">
        <v>2355</v>
      </c>
      <c r="H2">
        <v>11775</v>
      </c>
      <c r="I2">
        <v>3599</v>
      </c>
      <c r="J2" t="s">
        <v>13</v>
      </c>
    </row>
    <row r="3" spans="1:10" x14ac:dyDescent="0.35">
      <c r="A3" t="s">
        <v>14</v>
      </c>
      <c r="B3" s="1">
        <v>44928</v>
      </c>
      <c r="C3" t="s">
        <v>10</v>
      </c>
      <c r="D3" t="s">
        <v>15</v>
      </c>
      <c r="E3" t="s">
        <v>16</v>
      </c>
      <c r="F3">
        <v>5</v>
      </c>
      <c r="G3">
        <v>2209</v>
      </c>
      <c r="H3">
        <v>11045</v>
      </c>
      <c r="I3">
        <v>2751</v>
      </c>
      <c r="J3" t="s">
        <v>17</v>
      </c>
    </row>
    <row r="4" spans="1:10" x14ac:dyDescent="0.35">
      <c r="A4" t="s">
        <v>18</v>
      </c>
      <c r="B4" s="1">
        <v>45006</v>
      </c>
      <c r="C4" t="s">
        <v>19</v>
      </c>
      <c r="D4" t="s">
        <v>20</v>
      </c>
      <c r="E4" t="s">
        <v>21</v>
      </c>
      <c r="F4">
        <v>8</v>
      </c>
      <c r="G4">
        <v>4590</v>
      </c>
      <c r="H4">
        <v>36720</v>
      </c>
      <c r="I4">
        <v>8894</v>
      </c>
      <c r="J4" t="s">
        <v>22</v>
      </c>
    </row>
    <row r="5" spans="1:10" x14ac:dyDescent="0.35">
      <c r="A5" t="s">
        <v>23</v>
      </c>
      <c r="B5" s="1">
        <v>45079</v>
      </c>
      <c r="C5" t="s">
        <v>24</v>
      </c>
      <c r="D5" t="s">
        <v>25</v>
      </c>
      <c r="E5" t="s">
        <v>26</v>
      </c>
      <c r="F5">
        <v>10</v>
      </c>
      <c r="G5">
        <v>752</v>
      </c>
      <c r="H5">
        <v>7520</v>
      </c>
      <c r="I5">
        <v>1728</v>
      </c>
      <c r="J5" t="s">
        <v>13</v>
      </c>
    </row>
    <row r="6" spans="1:10" x14ac:dyDescent="0.35">
      <c r="A6" t="s">
        <v>27</v>
      </c>
      <c r="B6" s="1">
        <v>45202</v>
      </c>
      <c r="C6" t="s">
        <v>19</v>
      </c>
      <c r="D6" t="s">
        <v>15</v>
      </c>
      <c r="E6" t="s">
        <v>28</v>
      </c>
      <c r="F6">
        <v>10</v>
      </c>
      <c r="G6">
        <v>3044</v>
      </c>
      <c r="H6">
        <v>30440</v>
      </c>
      <c r="I6">
        <v>7576</v>
      </c>
      <c r="J6" t="s">
        <v>17</v>
      </c>
    </row>
    <row r="7" spans="1:10" x14ac:dyDescent="0.35">
      <c r="A7" t="s">
        <v>29</v>
      </c>
      <c r="B7" s="1">
        <v>45273</v>
      </c>
      <c r="C7" t="s">
        <v>30</v>
      </c>
      <c r="D7" t="s">
        <v>11</v>
      </c>
      <c r="E7" t="s">
        <v>31</v>
      </c>
      <c r="F7">
        <v>1</v>
      </c>
      <c r="G7">
        <v>1890</v>
      </c>
      <c r="H7">
        <v>1890</v>
      </c>
      <c r="I7">
        <v>215</v>
      </c>
      <c r="J7" t="s">
        <v>32</v>
      </c>
    </row>
    <row r="8" spans="1:10" x14ac:dyDescent="0.35">
      <c r="A8" t="s">
        <v>33</v>
      </c>
      <c r="B8" s="1">
        <v>45202</v>
      </c>
      <c r="C8" t="s">
        <v>30</v>
      </c>
      <c r="D8" t="s">
        <v>20</v>
      </c>
      <c r="E8" t="s">
        <v>34</v>
      </c>
      <c r="F8">
        <v>10</v>
      </c>
      <c r="G8">
        <v>1226</v>
      </c>
      <c r="H8">
        <v>12260</v>
      </c>
      <c r="I8">
        <v>2566</v>
      </c>
      <c r="J8" t="s">
        <v>13</v>
      </c>
    </row>
    <row r="9" spans="1:10" x14ac:dyDescent="0.35">
      <c r="A9" t="s">
        <v>35</v>
      </c>
      <c r="B9" s="1">
        <v>44952</v>
      </c>
      <c r="C9" t="s">
        <v>30</v>
      </c>
      <c r="D9" t="s">
        <v>15</v>
      </c>
      <c r="E9" t="s">
        <v>36</v>
      </c>
      <c r="F9">
        <v>3</v>
      </c>
      <c r="G9">
        <v>3411</v>
      </c>
      <c r="H9">
        <v>10233</v>
      </c>
      <c r="I9">
        <v>3892</v>
      </c>
      <c r="J9" t="s">
        <v>17</v>
      </c>
    </row>
    <row r="10" spans="1:10" x14ac:dyDescent="0.35">
      <c r="A10" t="s">
        <v>37</v>
      </c>
      <c r="B10" s="1">
        <v>45144</v>
      </c>
      <c r="C10" t="s">
        <v>19</v>
      </c>
      <c r="D10" t="s">
        <v>15</v>
      </c>
      <c r="E10" t="s">
        <v>38</v>
      </c>
      <c r="F10">
        <v>1</v>
      </c>
      <c r="G10">
        <v>919</v>
      </c>
      <c r="H10">
        <v>919</v>
      </c>
      <c r="I10">
        <v>347</v>
      </c>
      <c r="J10" t="s">
        <v>22</v>
      </c>
    </row>
    <row r="11" spans="1:10" x14ac:dyDescent="0.35">
      <c r="A11" t="s">
        <v>39</v>
      </c>
      <c r="B11" s="1">
        <v>44941</v>
      </c>
      <c r="C11" t="s">
        <v>19</v>
      </c>
      <c r="D11" t="s">
        <v>40</v>
      </c>
      <c r="E11" t="s">
        <v>41</v>
      </c>
      <c r="F11">
        <v>9</v>
      </c>
      <c r="G11">
        <v>1686</v>
      </c>
      <c r="H11">
        <v>15174</v>
      </c>
      <c r="I11">
        <v>4615</v>
      </c>
      <c r="J11" t="s">
        <v>22</v>
      </c>
    </row>
    <row r="12" spans="1:10" x14ac:dyDescent="0.35">
      <c r="A12" t="s">
        <v>42</v>
      </c>
      <c r="B12" s="1">
        <v>45141</v>
      </c>
      <c r="C12" t="s">
        <v>10</v>
      </c>
      <c r="D12" t="s">
        <v>15</v>
      </c>
      <c r="E12" t="s">
        <v>43</v>
      </c>
      <c r="F12">
        <v>5</v>
      </c>
      <c r="G12">
        <v>3636</v>
      </c>
      <c r="H12">
        <v>18180</v>
      </c>
      <c r="I12">
        <v>6860</v>
      </c>
      <c r="J12" t="s">
        <v>22</v>
      </c>
    </row>
    <row r="13" spans="1:10" x14ac:dyDescent="0.35">
      <c r="A13" t="s">
        <v>44</v>
      </c>
      <c r="B13" s="1">
        <v>45110</v>
      </c>
      <c r="C13" t="s">
        <v>30</v>
      </c>
      <c r="D13" t="s">
        <v>25</v>
      </c>
      <c r="E13" t="s">
        <v>26</v>
      </c>
      <c r="F13">
        <v>3</v>
      </c>
      <c r="G13">
        <v>2014</v>
      </c>
      <c r="H13">
        <v>6042</v>
      </c>
      <c r="I13">
        <v>1042</v>
      </c>
      <c r="J13" t="s">
        <v>22</v>
      </c>
    </row>
    <row r="14" spans="1:10" x14ac:dyDescent="0.35">
      <c r="A14" t="s">
        <v>45</v>
      </c>
      <c r="B14" s="1">
        <v>45057</v>
      </c>
      <c r="C14" t="s">
        <v>10</v>
      </c>
      <c r="D14" t="s">
        <v>11</v>
      </c>
      <c r="E14" t="s">
        <v>46</v>
      </c>
      <c r="F14">
        <v>4</v>
      </c>
      <c r="G14">
        <v>2127</v>
      </c>
      <c r="H14">
        <v>8508</v>
      </c>
      <c r="I14">
        <v>1319</v>
      </c>
      <c r="J14" t="s">
        <v>13</v>
      </c>
    </row>
    <row r="15" spans="1:10" x14ac:dyDescent="0.35">
      <c r="A15" t="s">
        <v>47</v>
      </c>
      <c r="B15" s="1">
        <v>45077</v>
      </c>
      <c r="C15" t="s">
        <v>19</v>
      </c>
      <c r="D15" t="s">
        <v>25</v>
      </c>
      <c r="E15" t="s">
        <v>48</v>
      </c>
      <c r="F15">
        <v>8</v>
      </c>
      <c r="G15">
        <v>2739</v>
      </c>
      <c r="H15">
        <v>21912</v>
      </c>
      <c r="I15">
        <v>3005</v>
      </c>
      <c r="J15" t="s">
        <v>22</v>
      </c>
    </row>
    <row r="16" spans="1:10" x14ac:dyDescent="0.35">
      <c r="A16" t="s">
        <v>49</v>
      </c>
      <c r="B16" s="1">
        <v>45189</v>
      </c>
      <c r="C16" t="s">
        <v>10</v>
      </c>
      <c r="D16" t="s">
        <v>20</v>
      </c>
      <c r="E16" t="s">
        <v>21</v>
      </c>
      <c r="F16">
        <v>9</v>
      </c>
      <c r="G16">
        <v>1485</v>
      </c>
      <c r="H16">
        <v>13365</v>
      </c>
      <c r="I16">
        <v>2856</v>
      </c>
      <c r="J16" t="s">
        <v>32</v>
      </c>
    </row>
    <row r="17" spans="1:10" x14ac:dyDescent="0.35">
      <c r="A17" t="s">
        <v>50</v>
      </c>
      <c r="B17" s="1">
        <v>45233</v>
      </c>
      <c r="C17" t="s">
        <v>24</v>
      </c>
      <c r="D17" t="s">
        <v>25</v>
      </c>
      <c r="E17" t="s">
        <v>51</v>
      </c>
      <c r="F17">
        <v>9</v>
      </c>
      <c r="G17">
        <v>4152</v>
      </c>
      <c r="H17">
        <v>37368</v>
      </c>
      <c r="I17">
        <v>8190</v>
      </c>
      <c r="J17" t="s">
        <v>13</v>
      </c>
    </row>
    <row r="18" spans="1:10" x14ac:dyDescent="0.35">
      <c r="A18" t="s">
        <v>52</v>
      </c>
      <c r="B18" s="1">
        <v>44931</v>
      </c>
      <c r="C18" t="s">
        <v>24</v>
      </c>
      <c r="D18" t="s">
        <v>40</v>
      </c>
      <c r="E18" t="s">
        <v>53</v>
      </c>
      <c r="F18">
        <v>3</v>
      </c>
      <c r="G18">
        <v>4412</v>
      </c>
      <c r="H18">
        <v>13236</v>
      </c>
      <c r="I18">
        <v>4386</v>
      </c>
      <c r="J18" t="s">
        <v>32</v>
      </c>
    </row>
    <row r="19" spans="1:10" x14ac:dyDescent="0.35">
      <c r="A19" t="s">
        <v>54</v>
      </c>
      <c r="B19" s="1">
        <v>44956</v>
      </c>
      <c r="C19" t="s">
        <v>24</v>
      </c>
      <c r="D19" t="s">
        <v>20</v>
      </c>
      <c r="E19" t="s">
        <v>55</v>
      </c>
      <c r="F19">
        <v>8</v>
      </c>
      <c r="G19">
        <v>2715</v>
      </c>
      <c r="H19">
        <v>21720</v>
      </c>
      <c r="I19">
        <v>5359</v>
      </c>
      <c r="J19" t="s">
        <v>22</v>
      </c>
    </row>
    <row r="20" spans="1:10" x14ac:dyDescent="0.35">
      <c r="A20" t="s">
        <v>56</v>
      </c>
      <c r="B20" s="1">
        <v>45146</v>
      </c>
      <c r="C20" t="s">
        <v>10</v>
      </c>
      <c r="D20" t="s">
        <v>11</v>
      </c>
      <c r="E20" t="s">
        <v>43</v>
      </c>
      <c r="F20">
        <v>6</v>
      </c>
      <c r="G20">
        <v>1240</v>
      </c>
      <c r="H20">
        <v>7440</v>
      </c>
      <c r="I20">
        <v>2197</v>
      </c>
      <c r="J20" t="s">
        <v>13</v>
      </c>
    </row>
    <row r="21" spans="1:10" x14ac:dyDescent="0.35">
      <c r="A21" t="s">
        <v>57</v>
      </c>
      <c r="B21" s="1">
        <v>44941</v>
      </c>
      <c r="C21" t="s">
        <v>19</v>
      </c>
      <c r="D21" t="s">
        <v>11</v>
      </c>
      <c r="E21" t="s">
        <v>58</v>
      </c>
      <c r="F21">
        <v>9</v>
      </c>
      <c r="G21">
        <v>641</v>
      </c>
      <c r="H21">
        <v>5769</v>
      </c>
      <c r="I21">
        <v>2231</v>
      </c>
      <c r="J21" t="s">
        <v>17</v>
      </c>
    </row>
    <row r="22" spans="1:10" x14ac:dyDescent="0.35">
      <c r="A22" t="s">
        <v>59</v>
      </c>
      <c r="B22" s="1">
        <v>45092</v>
      </c>
      <c r="C22" t="s">
        <v>19</v>
      </c>
      <c r="D22" t="s">
        <v>20</v>
      </c>
      <c r="E22" t="s">
        <v>60</v>
      </c>
      <c r="F22">
        <v>6</v>
      </c>
      <c r="G22">
        <v>706</v>
      </c>
      <c r="H22">
        <v>4236</v>
      </c>
      <c r="I22">
        <v>1287</v>
      </c>
      <c r="J22" t="s">
        <v>17</v>
      </c>
    </row>
    <row r="23" spans="1:10" x14ac:dyDescent="0.35">
      <c r="A23" t="s">
        <v>61</v>
      </c>
      <c r="B23" s="1">
        <v>45260</v>
      </c>
      <c r="C23" t="s">
        <v>19</v>
      </c>
      <c r="D23" t="s">
        <v>11</v>
      </c>
      <c r="E23" t="s">
        <v>62</v>
      </c>
      <c r="F23">
        <v>7</v>
      </c>
      <c r="G23">
        <v>853</v>
      </c>
      <c r="H23">
        <v>5971</v>
      </c>
      <c r="I23">
        <v>1300</v>
      </c>
      <c r="J23" t="s">
        <v>22</v>
      </c>
    </row>
    <row r="24" spans="1:10" x14ac:dyDescent="0.35">
      <c r="A24" t="s">
        <v>63</v>
      </c>
      <c r="B24" s="1">
        <v>45180</v>
      </c>
      <c r="C24" t="s">
        <v>19</v>
      </c>
      <c r="D24" t="s">
        <v>25</v>
      </c>
      <c r="E24" t="s">
        <v>64</v>
      </c>
      <c r="F24">
        <v>6</v>
      </c>
      <c r="G24">
        <v>4092</v>
      </c>
      <c r="H24">
        <v>24552</v>
      </c>
      <c r="I24">
        <v>8398</v>
      </c>
      <c r="J24" t="s">
        <v>17</v>
      </c>
    </row>
    <row r="25" spans="1:10" x14ac:dyDescent="0.35">
      <c r="A25" t="s">
        <v>65</v>
      </c>
      <c r="B25" s="1">
        <v>45191</v>
      </c>
      <c r="C25" t="s">
        <v>19</v>
      </c>
      <c r="D25" t="s">
        <v>25</v>
      </c>
      <c r="E25" t="s">
        <v>51</v>
      </c>
      <c r="F25">
        <v>6</v>
      </c>
      <c r="G25">
        <v>3259</v>
      </c>
      <c r="H25">
        <v>19554</v>
      </c>
      <c r="I25">
        <v>5886</v>
      </c>
      <c r="J25" t="s">
        <v>22</v>
      </c>
    </row>
    <row r="26" spans="1:10" x14ac:dyDescent="0.35">
      <c r="A26" t="s">
        <v>66</v>
      </c>
      <c r="B26" s="1">
        <v>45181</v>
      </c>
      <c r="C26" t="s">
        <v>19</v>
      </c>
      <c r="D26" t="s">
        <v>15</v>
      </c>
      <c r="E26" t="s">
        <v>51</v>
      </c>
      <c r="F26">
        <v>3</v>
      </c>
      <c r="G26">
        <v>962</v>
      </c>
      <c r="H26">
        <v>2886</v>
      </c>
      <c r="I26">
        <v>390</v>
      </c>
      <c r="J26" t="s">
        <v>17</v>
      </c>
    </row>
    <row r="27" spans="1:10" x14ac:dyDescent="0.35">
      <c r="A27" t="s">
        <v>67</v>
      </c>
      <c r="B27" s="1">
        <v>45217</v>
      </c>
      <c r="C27" t="s">
        <v>24</v>
      </c>
      <c r="D27" t="s">
        <v>15</v>
      </c>
      <c r="E27" t="s">
        <v>68</v>
      </c>
      <c r="F27">
        <v>10</v>
      </c>
      <c r="G27">
        <v>2938</v>
      </c>
      <c r="H27">
        <v>29380</v>
      </c>
      <c r="I27">
        <v>3171</v>
      </c>
      <c r="J27" t="s">
        <v>13</v>
      </c>
    </row>
    <row r="28" spans="1:10" x14ac:dyDescent="0.35">
      <c r="A28" t="s">
        <v>69</v>
      </c>
      <c r="B28" s="1">
        <v>45142</v>
      </c>
      <c r="C28" t="s">
        <v>24</v>
      </c>
      <c r="D28" t="s">
        <v>25</v>
      </c>
      <c r="E28" t="s">
        <v>43</v>
      </c>
      <c r="F28">
        <v>6</v>
      </c>
      <c r="G28">
        <v>1132</v>
      </c>
      <c r="H28">
        <v>6792</v>
      </c>
      <c r="I28">
        <v>2491</v>
      </c>
      <c r="J28" t="s">
        <v>13</v>
      </c>
    </row>
    <row r="29" spans="1:10" x14ac:dyDescent="0.35">
      <c r="A29" t="s">
        <v>70</v>
      </c>
      <c r="B29" s="1">
        <v>44977</v>
      </c>
      <c r="C29" t="s">
        <v>30</v>
      </c>
      <c r="D29" t="s">
        <v>40</v>
      </c>
      <c r="E29" t="s">
        <v>71</v>
      </c>
      <c r="F29">
        <v>10</v>
      </c>
      <c r="G29">
        <v>3910</v>
      </c>
      <c r="H29">
        <v>39100</v>
      </c>
      <c r="I29">
        <v>10338</v>
      </c>
      <c r="J29" t="s">
        <v>22</v>
      </c>
    </row>
    <row r="30" spans="1:10" x14ac:dyDescent="0.35">
      <c r="A30" t="s">
        <v>72</v>
      </c>
      <c r="B30" s="1">
        <v>44984</v>
      </c>
      <c r="C30" t="s">
        <v>19</v>
      </c>
      <c r="D30" t="s">
        <v>11</v>
      </c>
      <c r="E30" t="s">
        <v>16</v>
      </c>
      <c r="F30">
        <v>10</v>
      </c>
      <c r="G30">
        <v>2973</v>
      </c>
      <c r="H30">
        <v>29730</v>
      </c>
      <c r="I30">
        <v>11266</v>
      </c>
      <c r="J30" t="s">
        <v>32</v>
      </c>
    </row>
    <row r="31" spans="1:10" x14ac:dyDescent="0.35">
      <c r="A31" t="s">
        <v>73</v>
      </c>
      <c r="B31" s="1">
        <v>45209</v>
      </c>
      <c r="C31" t="s">
        <v>10</v>
      </c>
      <c r="D31" t="s">
        <v>11</v>
      </c>
      <c r="E31" t="s">
        <v>74</v>
      </c>
      <c r="F31">
        <v>8</v>
      </c>
      <c r="G31">
        <v>2027</v>
      </c>
      <c r="H31">
        <v>16216</v>
      </c>
      <c r="I31">
        <v>2707</v>
      </c>
      <c r="J31" t="s">
        <v>17</v>
      </c>
    </row>
    <row r="32" spans="1:10" x14ac:dyDescent="0.35">
      <c r="A32" t="s">
        <v>75</v>
      </c>
      <c r="B32" s="1">
        <v>45083</v>
      </c>
      <c r="C32" t="s">
        <v>24</v>
      </c>
      <c r="D32" t="s">
        <v>25</v>
      </c>
      <c r="E32" t="s">
        <v>41</v>
      </c>
      <c r="F32">
        <v>5</v>
      </c>
      <c r="G32">
        <v>4462</v>
      </c>
      <c r="H32">
        <v>22310</v>
      </c>
      <c r="I32">
        <v>5200</v>
      </c>
      <c r="J32" t="s">
        <v>13</v>
      </c>
    </row>
    <row r="33" spans="1:10" x14ac:dyDescent="0.35">
      <c r="A33" t="s">
        <v>76</v>
      </c>
      <c r="B33" s="1">
        <v>45253</v>
      </c>
      <c r="C33" t="s">
        <v>10</v>
      </c>
      <c r="D33" t="s">
        <v>11</v>
      </c>
      <c r="E33" t="s">
        <v>62</v>
      </c>
      <c r="F33">
        <v>9</v>
      </c>
      <c r="G33">
        <v>2941</v>
      </c>
      <c r="H33">
        <v>26469</v>
      </c>
      <c r="I33">
        <v>4339</v>
      </c>
      <c r="J33" t="s">
        <v>32</v>
      </c>
    </row>
    <row r="34" spans="1:10" x14ac:dyDescent="0.35">
      <c r="A34" t="s">
        <v>77</v>
      </c>
      <c r="B34" s="1">
        <v>45186</v>
      </c>
      <c r="C34" t="s">
        <v>30</v>
      </c>
      <c r="D34" t="s">
        <v>15</v>
      </c>
      <c r="E34" t="s">
        <v>78</v>
      </c>
      <c r="F34">
        <v>4</v>
      </c>
      <c r="G34">
        <v>2706</v>
      </c>
      <c r="H34">
        <v>10824</v>
      </c>
      <c r="I34">
        <v>2666</v>
      </c>
      <c r="J34" t="s">
        <v>32</v>
      </c>
    </row>
    <row r="35" spans="1:10" x14ac:dyDescent="0.35">
      <c r="A35" t="s">
        <v>79</v>
      </c>
      <c r="B35" s="1">
        <v>45053</v>
      </c>
      <c r="C35" t="s">
        <v>30</v>
      </c>
      <c r="D35" t="s">
        <v>11</v>
      </c>
      <c r="E35" t="s">
        <v>80</v>
      </c>
      <c r="F35">
        <v>10</v>
      </c>
      <c r="G35">
        <v>3565</v>
      </c>
      <c r="H35">
        <v>35650</v>
      </c>
      <c r="I35">
        <v>4447</v>
      </c>
      <c r="J35" t="s">
        <v>32</v>
      </c>
    </row>
    <row r="36" spans="1:10" x14ac:dyDescent="0.35">
      <c r="A36" t="s">
        <v>81</v>
      </c>
      <c r="B36" s="1">
        <v>45288</v>
      </c>
      <c r="C36" t="s">
        <v>19</v>
      </c>
      <c r="D36" t="s">
        <v>11</v>
      </c>
      <c r="E36" t="s">
        <v>12</v>
      </c>
      <c r="F36">
        <v>9</v>
      </c>
      <c r="G36">
        <v>2551</v>
      </c>
      <c r="H36">
        <v>22959</v>
      </c>
      <c r="I36">
        <v>6966</v>
      </c>
      <c r="J36" t="s">
        <v>13</v>
      </c>
    </row>
    <row r="37" spans="1:10" x14ac:dyDescent="0.35">
      <c r="A37" t="s">
        <v>82</v>
      </c>
      <c r="B37" s="1">
        <v>45159</v>
      </c>
      <c r="C37" t="s">
        <v>19</v>
      </c>
      <c r="D37" t="s">
        <v>40</v>
      </c>
      <c r="E37" t="s">
        <v>53</v>
      </c>
      <c r="F37">
        <v>9</v>
      </c>
      <c r="G37">
        <v>690</v>
      </c>
      <c r="H37">
        <v>6210</v>
      </c>
      <c r="I37">
        <v>852</v>
      </c>
      <c r="J37" t="s">
        <v>17</v>
      </c>
    </row>
    <row r="38" spans="1:10" x14ac:dyDescent="0.35">
      <c r="A38" t="s">
        <v>83</v>
      </c>
      <c r="B38" s="1">
        <v>45202</v>
      </c>
      <c r="C38" t="s">
        <v>30</v>
      </c>
      <c r="D38" t="s">
        <v>25</v>
      </c>
      <c r="E38" t="s">
        <v>55</v>
      </c>
      <c r="F38">
        <v>4</v>
      </c>
      <c r="G38">
        <v>4013</v>
      </c>
      <c r="H38">
        <v>16052</v>
      </c>
      <c r="I38">
        <v>3615</v>
      </c>
      <c r="J38" t="s">
        <v>13</v>
      </c>
    </row>
    <row r="39" spans="1:10" x14ac:dyDescent="0.35">
      <c r="A39" t="s">
        <v>84</v>
      </c>
      <c r="B39" s="1">
        <v>45059</v>
      </c>
      <c r="C39" t="s">
        <v>24</v>
      </c>
      <c r="D39" t="s">
        <v>25</v>
      </c>
      <c r="E39" t="s">
        <v>26</v>
      </c>
      <c r="F39">
        <v>1</v>
      </c>
      <c r="G39">
        <v>2359</v>
      </c>
      <c r="H39">
        <v>2359</v>
      </c>
      <c r="I39">
        <v>398</v>
      </c>
      <c r="J39" t="s">
        <v>17</v>
      </c>
    </row>
    <row r="40" spans="1:10" x14ac:dyDescent="0.35">
      <c r="A40" t="s">
        <v>85</v>
      </c>
      <c r="B40" s="1">
        <v>45243</v>
      </c>
      <c r="C40" t="s">
        <v>10</v>
      </c>
      <c r="D40" t="s">
        <v>40</v>
      </c>
      <c r="E40" t="s">
        <v>46</v>
      </c>
      <c r="F40">
        <v>10</v>
      </c>
      <c r="G40">
        <v>3552</v>
      </c>
      <c r="H40">
        <v>35520</v>
      </c>
      <c r="I40">
        <v>13429</v>
      </c>
      <c r="J40" t="s">
        <v>32</v>
      </c>
    </row>
    <row r="41" spans="1:10" x14ac:dyDescent="0.35">
      <c r="A41" t="s">
        <v>86</v>
      </c>
      <c r="B41" s="1">
        <v>45132</v>
      </c>
      <c r="C41" t="s">
        <v>24</v>
      </c>
      <c r="D41" t="s">
        <v>40</v>
      </c>
      <c r="E41" t="s">
        <v>87</v>
      </c>
      <c r="F41">
        <v>8</v>
      </c>
      <c r="G41">
        <v>4013</v>
      </c>
      <c r="H41">
        <v>32104</v>
      </c>
      <c r="I41">
        <v>6463</v>
      </c>
      <c r="J41" t="s">
        <v>22</v>
      </c>
    </row>
    <row r="42" spans="1:10" x14ac:dyDescent="0.35">
      <c r="A42" t="s">
        <v>88</v>
      </c>
      <c r="B42" s="1">
        <v>45222</v>
      </c>
      <c r="C42" t="s">
        <v>19</v>
      </c>
      <c r="D42" t="s">
        <v>25</v>
      </c>
      <c r="E42" t="s">
        <v>89</v>
      </c>
      <c r="F42">
        <v>6</v>
      </c>
      <c r="G42">
        <v>3337</v>
      </c>
      <c r="H42">
        <v>20022</v>
      </c>
      <c r="I42">
        <v>7924</v>
      </c>
      <c r="J42" t="s">
        <v>32</v>
      </c>
    </row>
    <row r="43" spans="1:10" x14ac:dyDescent="0.35">
      <c r="A43" t="s">
        <v>90</v>
      </c>
      <c r="B43" s="1">
        <v>44977</v>
      </c>
      <c r="C43" t="s">
        <v>24</v>
      </c>
      <c r="D43" t="s">
        <v>20</v>
      </c>
      <c r="E43" t="s">
        <v>43</v>
      </c>
      <c r="F43">
        <v>3</v>
      </c>
      <c r="G43">
        <v>658</v>
      </c>
      <c r="H43">
        <v>1974</v>
      </c>
      <c r="I43">
        <v>685</v>
      </c>
      <c r="J43" t="s">
        <v>32</v>
      </c>
    </row>
    <row r="44" spans="1:10" x14ac:dyDescent="0.35">
      <c r="A44" t="s">
        <v>91</v>
      </c>
      <c r="B44" s="1">
        <v>45054</v>
      </c>
      <c r="C44" t="s">
        <v>10</v>
      </c>
      <c r="D44" t="s">
        <v>25</v>
      </c>
      <c r="E44" t="s">
        <v>92</v>
      </c>
      <c r="F44">
        <v>1</v>
      </c>
      <c r="G44">
        <v>2945</v>
      </c>
      <c r="H44">
        <v>2945</v>
      </c>
      <c r="I44">
        <v>546</v>
      </c>
      <c r="J44" t="s">
        <v>32</v>
      </c>
    </row>
    <row r="45" spans="1:10" x14ac:dyDescent="0.35">
      <c r="A45" t="s">
        <v>93</v>
      </c>
      <c r="B45" s="1">
        <v>45173</v>
      </c>
      <c r="C45" t="s">
        <v>30</v>
      </c>
      <c r="D45" t="s">
        <v>25</v>
      </c>
      <c r="E45" t="s">
        <v>62</v>
      </c>
      <c r="F45">
        <v>3</v>
      </c>
      <c r="G45">
        <v>1686</v>
      </c>
      <c r="H45">
        <v>5058</v>
      </c>
      <c r="I45">
        <v>1448</v>
      </c>
      <c r="J45" t="s">
        <v>13</v>
      </c>
    </row>
    <row r="46" spans="1:10" x14ac:dyDescent="0.35">
      <c r="A46" t="s">
        <v>94</v>
      </c>
      <c r="B46" s="1">
        <v>45216</v>
      </c>
      <c r="C46" t="s">
        <v>19</v>
      </c>
      <c r="D46" t="s">
        <v>11</v>
      </c>
      <c r="E46" t="s">
        <v>34</v>
      </c>
      <c r="F46">
        <v>2</v>
      </c>
      <c r="G46">
        <v>621</v>
      </c>
      <c r="H46">
        <v>1242</v>
      </c>
      <c r="I46">
        <v>312</v>
      </c>
      <c r="J46" t="s">
        <v>13</v>
      </c>
    </row>
    <row r="47" spans="1:10" x14ac:dyDescent="0.35">
      <c r="A47" t="s">
        <v>95</v>
      </c>
      <c r="B47" s="1">
        <v>45108</v>
      </c>
      <c r="C47" t="s">
        <v>10</v>
      </c>
      <c r="D47" t="s">
        <v>20</v>
      </c>
      <c r="E47" t="s">
        <v>74</v>
      </c>
      <c r="F47">
        <v>10</v>
      </c>
      <c r="G47">
        <v>2464</v>
      </c>
      <c r="H47">
        <v>24640</v>
      </c>
      <c r="I47">
        <v>5269</v>
      </c>
      <c r="J47" t="s">
        <v>32</v>
      </c>
    </row>
    <row r="48" spans="1:10" x14ac:dyDescent="0.35">
      <c r="A48" t="s">
        <v>96</v>
      </c>
      <c r="B48" s="1">
        <v>45255</v>
      </c>
      <c r="C48" t="s">
        <v>30</v>
      </c>
      <c r="D48" t="s">
        <v>11</v>
      </c>
      <c r="E48" t="s">
        <v>38</v>
      </c>
      <c r="F48">
        <v>4</v>
      </c>
      <c r="G48">
        <v>1420</v>
      </c>
      <c r="H48">
        <v>5680</v>
      </c>
      <c r="I48">
        <v>1451</v>
      </c>
      <c r="J48" t="s">
        <v>22</v>
      </c>
    </row>
    <row r="49" spans="1:10" x14ac:dyDescent="0.35">
      <c r="A49" t="s">
        <v>97</v>
      </c>
      <c r="B49" s="1">
        <v>45282</v>
      </c>
      <c r="C49" t="s">
        <v>19</v>
      </c>
      <c r="D49" t="s">
        <v>20</v>
      </c>
      <c r="E49" t="s">
        <v>78</v>
      </c>
      <c r="F49">
        <v>4</v>
      </c>
      <c r="G49">
        <v>3003</v>
      </c>
      <c r="H49">
        <v>12012</v>
      </c>
      <c r="I49">
        <v>1941</v>
      </c>
      <c r="J49" t="s">
        <v>32</v>
      </c>
    </row>
    <row r="50" spans="1:10" x14ac:dyDescent="0.35">
      <c r="A50" t="s">
        <v>98</v>
      </c>
      <c r="B50" s="1">
        <v>45107</v>
      </c>
      <c r="C50" t="s">
        <v>19</v>
      </c>
      <c r="D50" t="s">
        <v>25</v>
      </c>
      <c r="E50" t="s">
        <v>48</v>
      </c>
      <c r="F50">
        <v>7</v>
      </c>
      <c r="G50">
        <v>4549</v>
      </c>
      <c r="H50">
        <v>31843</v>
      </c>
      <c r="I50">
        <v>6448</v>
      </c>
      <c r="J50" t="s">
        <v>17</v>
      </c>
    </row>
    <row r="51" spans="1:10" x14ac:dyDescent="0.35">
      <c r="A51" t="s">
        <v>99</v>
      </c>
      <c r="B51" s="1">
        <v>45248</v>
      </c>
      <c r="C51" t="s">
        <v>10</v>
      </c>
      <c r="D51" t="s">
        <v>20</v>
      </c>
      <c r="E51" t="s">
        <v>100</v>
      </c>
      <c r="F51">
        <v>7</v>
      </c>
      <c r="G51">
        <v>1632</v>
      </c>
      <c r="H51">
        <v>11424</v>
      </c>
      <c r="I51">
        <v>3337</v>
      </c>
      <c r="J51" t="s">
        <v>22</v>
      </c>
    </row>
    <row r="52" spans="1:10" x14ac:dyDescent="0.35">
      <c r="A52" t="s">
        <v>101</v>
      </c>
      <c r="B52" s="1">
        <v>45169</v>
      </c>
      <c r="C52" t="s">
        <v>10</v>
      </c>
      <c r="D52" t="s">
        <v>15</v>
      </c>
      <c r="E52" t="s">
        <v>102</v>
      </c>
      <c r="F52">
        <v>2</v>
      </c>
      <c r="G52">
        <v>3663</v>
      </c>
      <c r="H52">
        <v>7326</v>
      </c>
      <c r="I52">
        <v>1590</v>
      </c>
      <c r="J52" t="s">
        <v>32</v>
      </c>
    </row>
    <row r="53" spans="1:10" x14ac:dyDescent="0.35">
      <c r="A53" t="s">
        <v>103</v>
      </c>
      <c r="B53" s="1">
        <v>45034</v>
      </c>
      <c r="C53" t="s">
        <v>24</v>
      </c>
      <c r="D53" t="s">
        <v>40</v>
      </c>
      <c r="E53" t="s">
        <v>16</v>
      </c>
      <c r="F53">
        <v>8</v>
      </c>
      <c r="G53">
        <v>4957</v>
      </c>
      <c r="H53">
        <v>39656</v>
      </c>
      <c r="I53">
        <v>7579</v>
      </c>
      <c r="J53" t="s">
        <v>17</v>
      </c>
    </row>
    <row r="54" spans="1:10" x14ac:dyDescent="0.35">
      <c r="A54" t="s">
        <v>104</v>
      </c>
      <c r="B54" s="1">
        <v>45148</v>
      </c>
      <c r="C54" t="s">
        <v>19</v>
      </c>
      <c r="D54" t="s">
        <v>11</v>
      </c>
      <c r="E54" t="s">
        <v>48</v>
      </c>
      <c r="F54">
        <v>4</v>
      </c>
      <c r="G54">
        <v>2782</v>
      </c>
      <c r="H54">
        <v>11128</v>
      </c>
      <c r="I54">
        <v>3037</v>
      </c>
      <c r="J54" t="s">
        <v>13</v>
      </c>
    </row>
    <row r="55" spans="1:10" x14ac:dyDescent="0.35">
      <c r="A55" t="s">
        <v>105</v>
      </c>
      <c r="B55" s="1">
        <v>45245</v>
      </c>
      <c r="C55" t="s">
        <v>10</v>
      </c>
      <c r="D55" t="s">
        <v>40</v>
      </c>
      <c r="E55" t="s">
        <v>80</v>
      </c>
      <c r="F55">
        <v>7</v>
      </c>
      <c r="G55">
        <v>3470</v>
      </c>
      <c r="H55">
        <v>24290</v>
      </c>
      <c r="I55">
        <v>4415</v>
      </c>
      <c r="J55" t="s">
        <v>32</v>
      </c>
    </row>
    <row r="56" spans="1:10" x14ac:dyDescent="0.35">
      <c r="A56" t="s">
        <v>106</v>
      </c>
      <c r="B56" s="1">
        <v>45092</v>
      </c>
      <c r="C56" t="s">
        <v>10</v>
      </c>
      <c r="D56" t="s">
        <v>15</v>
      </c>
      <c r="E56" t="s">
        <v>58</v>
      </c>
      <c r="F56">
        <v>3</v>
      </c>
      <c r="G56">
        <v>1327</v>
      </c>
      <c r="H56">
        <v>3981</v>
      </c>
      <c r="I56">
        <v>662</v>
      </c>
      <c r="J56" t="s">
        <v>22</v>
      </c>
    </row>
    <row r="57" spans="1:10" x14ac:dyDescent="0.35">
      <c r="A57" t="s">
        <v>107</v>
      </c>
      <c r="B57" s="1">
        <v>45171</v>
      </c>
      <c r="C57" t="s">
        <v>10</v>
      </c>
      <c r="D57" t="s">
        <v>40</v>
      </c>
      <c r="E57" t="s">
        <v>64</v>
      </c>
      <c r="F57">
        <v>4</v>
      </c>
      <c r="G57">
        <v>883</v>
      </c>
      <c r="H57">
        <v>3532</v>
      </c>
      <c r="I57">
        <v>1145</v>
      </c>
      <c r="J57" t="s">
        <v>17</v>
      </c>
    </row>
    <row r="58" spans="1:10" x14ac:dyDescent="0.35">
      <c r="A58" t="s">
        <v>108</v>
      </c>
      <c r="B58" s="1">
        <v>45216</v>
      </c>
      <c r="C58" t="s">
        <v>24</v>
      </c>
      <c r="D58" t="s">
        <v>20</v>
      </c>
      <c r="E58" t="s">
        <v>74</v>
      </c>
      <c r="F58">
        <v>6</v>
      </c>
      <c r="G58">
        <v>2797</v>
      </c>
      <c r="H58">
        <v>16782</v>
      </c>
      <c r="I58">
        <v>3624</v>
      </c>
      <c r="J58" t="s">
        <v>17</v>
      </c>
    </row>
    <row r="59" spans="1:10" x14ac:dyDescent="0.35">
      <c r="A59" t="s">
        <v>109</v>
      </c>
      <c r="B59" s="1">
        <v>44946</v>
      </c>
      <c r="C59" t="s">
        <v>10</v>
      </c>
      <c r="D59" t="s">
        <v>20</v>
      </c>
      <c r="E59" t="s">
        <v>55</v>
      </c>
      <c r="F59">
        <v>7</v>
      </c>
      <c r="G59">
        <v>4301</v>
      </c>
      <c r="H59">
        <v>30107</v>
      </c>
      <c r="I59">
        <v>6291</v>
      </c>
      <c r="J59" t="s">
        <v>17</v>
      </c>
    </row>
    <row r="60" spans="1:10" x14ac:dyDescent="0.35">
      <c r="A60" t="s">
        <v>110</v>
      </c>
      <c r="B60" s="1">
        <v>45064</v>
      </c>
      <c r="C60" t="s">
        <v>30</v>
      </c>
      <c r="D60" t="s">
        <v>20</v>
      </c>
      <c r="E60" t="s">
        <v>111</v>
      </c>
      <c r="F60">
        <v>2</v>
      </c>
      <c r="G60">
        <v>1240</v>
      </c>
      <c r="H60">
        <v>2480</v>
      </c>
      <c r="I60">
        <v>778</v>
      </c>
      <c r="J60" t="s">
        <v>17</v>
      </c>
    </row>
    <row r="61" spans="1:10" x14ac:dyDescent="0.35">
      <c r="A61" t="s">
        <v>112</v>
      </c>
      <c r="B61" s="1">
        <v>45015</v>
      </c>
      <c r="C61" t="s">
        <v>30</v>
      </c>
      <c r="D61" t="s">
        <v>25</v>
      </c>
      <c r="E61" t="s">
        <v>113</v>
      </c>
      <c r="F61">
        <v>8</v>
      </c>
      <c r="G61">
        <v>3846</v>
      </c>
      <c r="H61">
        <v>30768</v>
      </c>
      <c r="I61">
        <v>8855</v>
      </c>
      <c r="J61" t="s">
        <v>32</v>
      </c>
    </row>
    <row r="62" spans="1:10" x14ac:dyDescent="0.35">
      <c r="A62" t="s">
        <v>114</v>
      </c>
      <c r="B62" s="1">
        <v>45178</v>
      </c>
      <c r="C62" t="s">
        <v>19</v>
      </c>
      <c r="D62" t="s">
        <v>15</v>
      </c>
      <c r="E62" t="s">
        <v>43</v>
      </c>
      <c r="F62">
        <v>1</v>
      </c>
      <c r="G62">
        <v>2768</v>
      </c>
      <c r="H62">
        <v>2768</v>
      </c>
      <c r="I62">
        <v>875</v>
      </c>
      <c r="J62" t="s">
        <v>32</v>
      </c>
    </row>
    <row r="63" spans="1:10" x14ac:dyDescent="0.35">
      <c r="A63" t="s">
        <v>115</v>
      </c>
      <c r="B63" s="1">
        <v>45243</v>
      </c>
      <c r="C63" t="s">
        <v>24</v>
      </c>
      <c r="D63" t="s">
        <v>20</v>
      </c>
      <c r="E63" t="s">
        <v>16</v>
      </c>
      <c r="F63">
        <v>4</v>
      </c>
      <c r="G63">
        <v>1803</v>
      </c>
      <c r="H63">
        <v>7212</v>
      </c>
      <c r="I63">
        <v>1143</v>
      </c>
      <c r="J63" t="s">
        <v>32</v>
      </c>
    </row>
    <row r="64" spans="1:10" x14ac:dyDescent="0.35">
      <c r="A64" t="s">
        <v>116</v>
      </c>
      <c r="B64" s="1">
        <v>45256</v>
      </c>
      <c r="C64" t="s">
        <v>24</v>
      </c>
      <c r="D64" t="s">
        <v>11</v>
      </c>
      <c r="E64" t="s">
        <v>102</v>
      </c>
      <c r="F64">
        <v>4</v>
      </c>
      <c r="G64">
        <v>3026</v>
      </c>
      <c r="H64">
        <v>12104</v>
      </c>
      <c r="I64">
        <v>2901</v>
      </c>
      <c r="J64" t="s">
        <v>32</v>
      </c>
    </row>
    <row r="65" spans="1:10" x14ac:dyDescent="0.35">
      <c r="A65" t="s">
        <v>117</v>
      </c>
      <c r="B65" s="1">
        <v>45241</v>
      </c>
      <c r="C65" t="s">
        <v>30</v>
      </c>
      <c r="D65" t="s">
        <v>40</v>
      </c>
      <c r="E65" t="s">
        <v>118</v>
      </c>
      <c r="F65">
        <v>2</v>
      </c>
      <c r="G65">
        <v>2965</v>
      </c>
      <c r="H65">
        <v>5930</v>
      </c>
      <c r="I65">
        <v>1399</v>
      </c>
      <c r="J65" t="s">
        <v>17</v>
      </c>
    </row>
    <row r="66" spans="1:10" x14ac:dyDescent="0.35">
      <c r="A66" t="s">
        <v>119</v>
      </c>
      <c r="B66" s="1">
        <v>45187</v>
      </c>
      <c r="C66" t="s">
        <v>30</v>
      </c>
      <c r="D66" t="s">
        <v>11</v>
      </c>
      <c r="E66" t="s">
        <v>26</v>
      </c>
      <c r="F66">
        <v>5</v>
      </c>
      <c r="G66">
        <v>2709</v>
      </c>
      <c r="H66">
        <v>13545</v>
      </c>
      <c r="I66">
        <v>3960</v>
      </c>
      <c r="J66" t="s">
        <v>22</v>
      </c>
    </row>
    <row r="67" spans="1:10" x14ac:dyDescent="0.35">
      <c r="A67" t="s">
        <v>120</v>
      </c>
      <c r="B67" s="1">
        <v>45123</v>
      </c>
      <c r="C67" t="s">
        <v>30</v>
      </c>
      <c r="D67" t="s">
        <v>11</v>
      </c>
      <c r="E67" t="s">
        <v>80</v>
      </c>
      <c r="F67">
        <v>3</v>
      </c>
      <c r="G67">
        <v>4492</v>
      </c>
      <c r="H67">
        <v>13476</v>
      </c>
      <c r="I67">
        <v>4425</v>
      </c>
      <c r="J67" t="s">
        <v>13</v>
      </c>
    </row>
    <row r="68" spans="1:10" x14ac:dyDescent="0.35">
      <c r="A68" t="s">
        <v>121</v>
      </c>
      <c r="B68" s="1">
        <v>45214</v>
      </c>
      <c r="C68" t="s">
        <v>10</v>
      </c>
      <c r="D68" t="s">
        <v>40</v>
      </c>
      <c r="E68" t="s">
        <v>78</v>
      </c>
      <c r="F68">
        <v>9</v>
      </c>
      <c r="G68">
        <v>1585</v>
      </c>
      <c r="H68">
        <v>14265</v>
      </c>
      <c r="I68">
        <v>3129</v>
      </c>
      <c r="J68" t="s">
        <v>22</v>
      </c>
    </row>
    <row r="69" spans="1:10" x14ac:dyDescent="0.35">
      <c r="A69" t="s">
        <v>122</v>
      </c>
      <c r="B69" s="1">
        <v>45019</v>
      </c>
      <c r="C69" t="s">
        <v>19</v>
      </c>
      <c r="D69" t="s">
        <v>40</v>
      </c>
      <c r="E69" t="s">
        <v>123</v>
      </c>
      <c r="F69">
        <v>2</v>
      </c>
      <c r="G69">
        <v>738</v>
      </c>
      <c r="H69">
        <v>1476</v>
      </c>
      <c r="I69">
        <v>300</v>
      </c>
      <c r="J69" t="s">
        <v>17</v>
      </c>
    </row>
    <row r="70" spans="1:10" x14ac:dyDescent="0.35">
      <c r="A70" t="s">
        <v>124</v>
      </c>
      <c r="B70" s="1">
        <v>45120</v>
      </c>
      <c r="C70" t="s">
        <v>24</v>
      </c>
      <c r="D70" t="s">
        <v>20</v>
      </c>
      <c r="E70" t="s">
        <v>34</v>
      </c>
      <c r="F70">
        <v>5</v>
      </c>
      <c r="G70">
        <v>2094</v>
      </c>
      <c r="H70">
        <v>10470</v>
      </c>
      <c r="I70">
        <v>3089</v>
      </c>
      <c r="J70" t="s">
        <v>13</v>
      </c>
    </row>
    <row r="71" spans="1:10" x14ac:dyDescent="0.35">
      <c r="A71" t="s">
        <v>125</v>
      </c>
      <c r="B71" s="1">
        <v>45202</v>
      </c>
      <c r="C71" t="s">
        <v>10</v>
      </c>
      <c r="D71" t="s">
        <v>11</v>
      </c>
      <c r="E71" t="s">
        <v>126</v>
      </c>
      <c r="F71">
        <v>3</v>
      </c>
      <c r="G71">
        <v>4326</v>
      </c>
      <c r="H71">
        <v>12978</v>
      </c>
      <c r="I71">
        <v>1840</v>
      </c>
      <c r="J71" t="s">
        <v>22</v>
      </c>
    </row>
    <row r="72" spans="1:10" x14ac:dyDescent="0.35">
      <c r="A72" t="s">
        <v>127</v>
      </c>
      <c r="B72" s="1">
        <v>44997</v>
      </c>
      <c r="C72" t="s">
        <v>10</v>
      </c>
      <c r="D72" t="s">
        <v>20</v>
      </c>
      <c r="E72" t="s">
        <v>128</v>
      </c>
      <c r="F72">
        <v>5</v>
      </c>
      <c r="G72">
        <v>1390</v>
      </c>
      <c r="H72">
        <v>6950</v>
      </c>
      <c r="I72">
        <v>2117</v>
      </c>
      <c r="J72" t="s">
        <v>13</v>
      </c>
    </row>
    <row r="73" spans="1:10" x14ac:dyDescent="0.35">
      <c r="A73" t="s">
        <v>129</v>
      </c>
      <c r="B73" s="1">
        <v>44965</v>
      </c>
      <c r="C73" t="s">
        <v>30</v>
      </c>
      <c r="D73" t="s">
        <v>15</v>
      </c>
      <c r="E73" t="s">
        <v>130</v>
      </c>
      <c r="F73">
        <v>4</v>
      </c>
      <c r="G73">
        <v>553</v>
      </c>
      <c r="H73">
        <v>2212</v>
      </c>
      <c r="I73">
        <v>626</v>
      </c>
      <c r="J73" t="s">
        <v>32</v>
      </c>
    </row>
    <row r="74" spans="1:10" x14ac:dyDescent="0.35">
      <c r="A74" t="s">
        <v>131</v>
      </c>
      <c r="B74" s="1">
        <v>44978</v>
      </c>
      <c r="C74" t="s">
        <v>19</v>
      </c>
      <c r="D74" t="s">
        <v>11</v>
      </c>
      <c r="E74" t="s">
        <v>87</v>
      </c>
      <c r="F74">
        <v>4</v>
      </c>
      <c r="G74">
        <v>3333</v>
      </c>
      <c r="H74">
        <v>13332</v>
      </c>
      <c r="I74">
        <v>3119</v>
      </c>
      <c r="J74" t="s">
        <v>13</v>
      </c>
    </row>
    <row r="75" spans="1:10" x14ac:dyDescent="0.35">
      <c r="A75" t="s">
        <v>132</v>
      </c>
      <c r="B75" s="1">
        <v>45274</v>
      </c>
      <c r="C75" t="s">
        <v>24</v>
      </c>
      <c r="D75" t="s">
        <v>15</v>
      </c>
      <c r="E75" t="s">
        <v>48</v>
      </c>
      <c r="F75">
        <v>8</v>
      </c>
      <c r="G75">
        <v>2000</v>
      </c>
      <c r="H75">
        <v>16000</v>
      </c>
      <c r="I75">
        <v>6257</v>
      </c>
      <c r="J75" t="s">
        <v>13</v>
      </c>
    </row>
    <row r="76" spans="1:10" x14ac:dyDescent="0.35">
      <c r="A76" t="s">
        <v>133</v>
      </c>
      <c r="B76" s="1">
        <v>45138</v>
      </c>
      <c r="C76" t="s">
        <v>10</v>
      </c>
      <c r="D76" t="s">
        <v>11</v>
      </c>
      <c r="E76" t="s">
        <v>64</v>
      </c>
      <c r="F76">
        <v>2</v>
      </c>
      <c r="G76">
        <v>1835</v>
      </c>
      <c r="H76">
        <v>3670</v>
      </c>
      <c r="I76">
        <v>933</v>
      </c>
      <c r="J76" t="s">
        <v>22</v>
      </c>
    </row>
    <row r="77" spans="1:10" x14ac:dyDescent="0.35">
      <c r="A77" t="s">
        <v>134</v>
      </c>
      <c r="B77" s="1">
        <v>45231</v>
      </c>
      <c r="C77" t="s">
        <v>30</v>
      </c>
      <c r="D77" t="s">
        <v>40</v>
      </c>
      <c r="E77" t="s">
        <v>102</v>
      </c>
      <c r="F77">
        <v>10</v>
      </c>
      <c r="G77">
        <v>2715</v>
      </c>
      <c r="H77">
        <v>27150</v>
      </c>
      <c r="I77">
        <v>7366</v>
      </c>
      <c r="J77" t="s">
        <v>17</v>
      </c>
    </row>
    <row r="78" spans="1:10" x14ac:dyDescent="0.35">
      <c r="A78" t="s">
        <v>135</v>
      </c>
      <c r="B78" s="1">
        <v>45078</v>
      </c>
      <c r="C78" t="s">
        <v>24</v>
      </c>
      <c r="D78" t="s">
        <v>40</v>
      </c>
      <c r="E78" t="s">
        <v>64</v>
      </c>
      <c r="F78">
        <v>9</v>
      </c>
      <c r="G78">
        <v>4948</v>
      </c>
      <c r="H78">
        <v>44532</v>
      </c>
      <c r="I78">
        <v>10786</v>
      </c>
      <c r="J78" t="s">
        <v>17</v>
      </c>
    </row>
    <row r="79" spans="1:10" x14ac:dyDescent="0.35">
      <c r="A79" t="s">
        <v>136</v>
      </c>
      <c r="B79" s="1">
        <v>45067</v>
      </c>
      <c r="C79" t="s">
        <v>30</v>
      </c>
      <c r="D79" t="s">
        <v>15</v>
      </c>
      <c r="E79" t="s">
        <v>137</v>
      </c>
      <c r="F79">
        <v>10</v>
      </c>
      <c r="G79">
        <v>3938</v>
      </c>
      <c r="H79">
        <v>39380</v>
      </c>
      <c r="I79">
        <v>9440</v>
      </c>
      <c r="J79" t="s">
        <v>32</v>
      </c>
    </row>
    <row r="80" spans="1:10" x14ac:dyDescent="0.35">
      <c r="A80" t="s">
        <v>138</v>
      </c>
      <c r="B80" s="1">
        <v>45071</v>
      </c>
      <c r="C80" t="s">
        <v>24</v>
      </c>
      <c r="D80" t="s">
        <v>11</v>
      </c>
      <c r="E80" t="s">
        <v>118</v>
      </c>
      <c r="F80">
        <v>4</v>
      </c>
      <c r="G80">
        <v>4838</v>
      </c>
      <c r="H80">
        <v>19352</v>
      </c>
      <c r="I80">
        <v>3888</v>
      </c>
      <c r="J80" t="s">
        <v>17</v>
      </c>
    </row>
    <row r="81" spans="1:10" x14ac:dyDescent="0.35">
      <c r="A81" t="s">
        <v>139</v>
      </c>
      <c r="B81" s="1">
        <v>44993</v>
      </c>
      <c r="C81" t="s">
        <v>24</v>
      </c>
      <c r="D81" t="s">
        <v>15</v>
      </c>
      <c r="E81" t="s">
        <v>51</v>
      </c>
      <c r="F81">
        <v>4</v>
      </c>
      <c r="G81">
        <v>3970</v>
      </c>
      <c r="H81">
        <v>15880</v>
      </c>
      <c r="I81">
        <v>5607</v>
      </c>
      <c r="J81" t="s">
        <v>17</v>
      </c>
    </row>
    <row r="82" spans="1:10" x14ac:dyDescent="0.35">
      <c r="A82" t="s">
        <v>140</v>
      </c>
      <c r="B82" s="1">
        <v>45140</v>
      </c>
      <c r="C82" t="s">
        <v>24</v>
      </c>
      <c r="D82" t="s">
        <v>11</v>
      </c>
      <c r="E82" t="s">
        <v>60</v>
      </c>
      <c r="F82">
        <v>2</v>
      </c>
      <c r="G82">
        <v>720</v>
      </c>
      <c r="H82">
        <v>1440</v>
      </c>
      <c r="I82">
        <v>395</v>
      </c>
      <c r="J82" t="s">
        <v>13</v>
      </c>
    </row>
    <row r="83" spans="1:10" x14ac:dyDescent="0.35">
      <c r="A83" t="s">
        <v>141</v>
      </c>
      <c r="B83" s="1">
        <v>45098</v>
      </c>
      <c r="C83" t="s">
        <v>24</v>
      </c>
      <c r="D83" t="s">
        <v>15</v>
      </c>
      <c r="E83" t="s">
        <v>60</v>
      </c>
      <c r="F83">
        <v>4</v>
      </c>
      <c r="G83">
        <v>1913</v>
      </c>
      <c r="H83">
        <v>7652</v>
      </c>
      <c r="I83">
        <v>2672</v>
      </c>
      <c r="J83" t="s">
        <v>13</v>
      </c>
    </row>
    <row r="84" spans="1:10" x14ac:dyDescent="0.35">
      <c r="A84" t="s">
        <v>142</v>
      </c>
      <c r="B84" s="1">
        <v>44936</v>
      </c>
      <c r="C84" t="s">
        <v>10</v>
      </c>
      <c r="D84" t="s">
        <v>20</v>
      </c>
      <c r="E84" t="s">
        <v>16</v>
      </c>
      <c r="F84">
        <v>9</v>
      </c>
      <c r="G84">
        <v>3032</v>
      </c>
      <c r="H84">
        <v>27288</v>
      </c>
      <c r="I84">
        <v>7614</v>
      </c>
      <c r="J84" t="s">
        <v>32</v>
      </c>
    </row>
    <row r="85" spans="1:10" x14ac:dyDescent="0.35">
      <c r="A85" t="s">
        <v>143</v>
      </c>
      <c r="B85" s="1">
        <v>45083</v>
      </c>
      <c r="C85" t="s">
        <v>19</v>
      </c>
      <c r="D85" t="s">
        <v>40</v>
      </c>
      <c r="E85" t="s">
        <v>130</v>
      </c>
      <c r="F85">
        <v>4</v>
      </c>
      <c r="G85">
        <v>3790</v>
      </c>
      <c r="H85">
        <v>15160</v>
      </c>
      <c r="I85">
        <v>5652</v>
      </c>
      <c r="J85" t="s">
        <v>32</v>
      </c>
    </row>
    <row r="86" spans="1:10" x14ac:dyDescent="0.35">
      <c r="A86" t="s">
        <v>144</v>
      </c>
      <c r="B86" s="1">
        <v>45206</v>
      </c>
      <c r="C86" t="s">
        <v>24</v>
      </c>
      <c r="D86" t="s">
        <v>11</v>
      </c>
      <c r="E86" t="s">
        <v>34</v>
      </c>
      <c r="F86">
        <v>10</v>
      </c>
      <c r="G86">
        <v>4080</v>
      </c>
      <c r="H86">
        <v>40800</v>
      </c>
      <c r="I86">
        <v>15121</v>
      </c>
      <c r="J86" t="s">
        <v>32</v>
      </c>
    </row>
    <row r="87" spans="1:10" x14ac:dyDescent="0.35">
      <c r="A87" t="s">
        <v>145</v>
      </c>
      <c r="B87" s="1">
        <v>44929</v>
      </c>
      <c r="C87" t="s">
        <v>24</v>
      </c>
      <c r="D87" t="s">
        <v>40</v>
      </c>
      <c r="E87" t="s">
        <v>58</v>
      </c>
      <c r="F87">
        <v>7</v>
      </c>
      <c r="G87">
        <v>3536</v>
      </c>
      <c r="H87">
        <v>24752</v>
      </c>
      <c r="I87">
        <v>6930</v>
      </c>
      <c r="J87" t="s">
        <v>22</v>
      </c>
    </row>
    <row r="88" spans="1:10" x14ac:dyDescent="0.35">
      <c r="A88" t="s">
        <v>146</v>
      </c>
      <c r="B88" s="1">
        <v>45086</v>
      </c>
      <c r="C88" t="s">
        <v>19</v>
      </c>
      <c r="D88" t="s">
        <v>25</v>
      </c>
      <c r="E88" t="s">
        <v>113</v>
      </c>
      <c r="F88">
        <v>1</v>
      </c>
      <c r="G88">
        <v>1034</v>
      </c>
      <c r="H88">
        <v>1034</v>
      </c>
      <c r="I88">
        <v>213</v>
      </c>
      <c r="J88" t="s">
        <v>13</v>
      </c>
    </row>
    <row r="89" spans="1:10" x14ac:dyDescent="0.35">
      <c r="A89" t="s">
        <v>147</v>
      </c>
      <c r="B89" s="1">
        <v>45066</v>
      </c>
      <c r="C89" t="s">
        <v>19</v>
      </c>
      <c r="D89" t="s">
        <v>40</v>
      </c>
      <c r="E89" t="s">
        <v>92</v>
      </c>
      <c r="F89">
        <v>6</v>
      </c>
      <c r="G89">
        <v>2204</v>
      </c>
      <c r="H89">
        <v>13224</v>
      </c>
      <c r="I89">
        <v>2473</v>
      </c>
      <c r="J89" t="s">
        <v>17</v>
      </c>
    </row>
    <row r="90" spans="1:10" x14ac:dyDescent="0.35">
      <c r="A90" t="s">
        <v>148</v>
      </c>
      <c r="B90" s="1">
        <v>45176</v>
      </c>
      <c r="C90" t="s">
        <v>24</v>
      </c>
      <c r="D90" t="s">
        <v>25</v>
      </c>
      <c r="E90" t="s">
        <v>149</v>
      </c>
      <c r="F90">
        <v>7</v>
      </c>
      <c r="G90">
        <v>2332</v>
      </c>
      <c r="H90">
        <v>16324</v>
      </c>
      <c r="I90">
        <v>3409</v>
      </c>
      <c r="J90" t="s">
        <v>32</v>
      </c>
    </row>
    <row r="91" spans="1:10" x14ac:dyDescent="0.35">
      <c r="A91" t="s">
        <v>150</v>
      </c>
      <c r="B91" s="1">
        <v>45082</v>
      </c>
      <c r="C91" t="s">
        <v>24</v>
      </c>
      <c r="D91" t="s">
        <v>20</v>
      </c>
      <c r="E91" t="s">
        <v>151</v>
      </c>
      <c r="F91">
        <v>8</v>
      </c>
      <c r="G91">
        <v>3520</v>
      </c>
      <c r="H91">
        <v>28160</v>
      </c>
      <c r="I91">
        <v>7674</v>
      </c>
      <c r="J91" t="s">
        <v>17</v>
      </c>
    </row>
    <row r="92" spans="1:10" x14ac:dyDescent="0.35">
      <c r="A92" t="s">
        <v>152</v>
      </c>
      <c r="B92" s="1">
        <v>45165</v>
      </c>
      <c r="C92" t="s">
        <v>24</v>
      </c>
      <c r="D92" t="s">
        <v>25</v>
      </c>
      <c r="E92" t="s">
        <v>153</v>
      </c>
      <c r="F92">
        <v>1</v>
      </c>
      <c r="G92">
        <v>2082</v>
      </c>
      <c r="H92">
        <v>2082</v>
      </c>
      <c r="I92">
        <v>755</v>
      </c>
      <c r="J92" t="s">
        <v>17</v>
      </c>
    </row>
    <row r="93" spans="1:10" x14ac:dyDescent="0.35">
      <c r="A93" t="s">
        <v>154</v>
      </c>
      <c r="B93" s="1">
        <v>45010</v>
      </c>
      <c r="C93" t="s">
        <v>24</v>
      </c>
      <c r="D93" t="s">
        <v>25</v>
      </c>
      <c r="E93" t="s">
        <v>113</v>
      </c>
      <c r="F93">
        <v>5</v>
      </c>
      <c r="G93">
        <v>1243</v>
      </c>
      <c r="H93">
        <v>6215</v>
      </c>
      <c r="I93">
        <v>1759</v>
      </c>
      <c r="J93" t="s">
        <v>13</v>
      </c>
    </row>
    <row r="94" spans="1:10" x14ac:dyDescent="0.35">
      <c r="A94" t="s">
        <v>155</v>
      </c>
      <c r="B94" s="1">
        <v>45239</v>
      </c>
      <c r="C94" t="s">
        <v>19</v>
      </c>
      <c r="D94" t="s">
        <v>40</v>
      </c>
      <c r="E94" t="s">
        <v>38</v>
      </c>
      <c r="F94">
        <v>8</v>
      </c>
      <c r="G94">
        <v>4478</v>
      </c>
      <c r="H94">
        <v>35824</v>
      </c>
      <c r="I94">
        <v>6126</v>
      </c>
      <c r="J94" t="s">
        <v>22</v>
      </c>
    </row>
    <row r="95" spans="1:10" x14ac:dyDescent="0.35">
      <c r="A95" t="s">
        <v>156</v>
      </c>
      <c r="B95" s="1">
        <v>45267</v>
      </c>
      <c r="C95" t="s">
        <v>10</v>
      </c>
      <c r="D95" t="s">
        <v>15</v>
      </c>
      <c r="E95" t="s">
        <v>58</v>
      </c>
      <c r="F95">
        <v>9</v>
      </c>
      <c r="G95">
        <v>1485</v>
      </c>
      <c r="H95">
        <v>13365</v>
      </c>
      <c r="I95">
        <v>5000</v>
      </c>
      <c r="J95" t="s">
        <v>17</v>
      </c>
    </row>
    <row r="96" spans="1:10" x14ac:dyDescent="0.35">
      <c r="A96" t="s">
        <v>157</v>
      </c>
      <c r="B96" s="1">
        <v>44940</v>
      </c>
      <c r="C96" t="s">
        <v>24</v>
      </c>
      <c r="D96" t="s">
        <v>11</v>
      </c>
      <c r="E96" t="s">
        <v>80</v>
      </c>
      <c r="F96">
        <v>7</v>
      </c>
      <c r="G96">
        <v>4455</v>
      </c>
      <c r="H96">
        <v>31185</v>
      </c>
      <c r="I96">
        <v>6184</v>
      </c>
      <c r="J96" t="s">
        <v>32</v>
      </c>
    </row>
    <row r="97" spans="1:10" x14ac:dyDescent="0.35">
      <c r="A97" t="s">
        <v>158</v>
      </c>
      <c r="B97" s="1">
        <v>45047</v>
      </c>
      <c r="C97" t="s">
        <v>10</v>
      </c>
      <c r="D97" t="s">
        <v>40</v>
      </c>
      <c r="E97" t="s">
        <v>153</v>
      </c>
      <c r="F97">
        <v>4</v>
      </c>
      <c r="G97">
        <v>1844</v>
      </c>
      <c r="H97">
        <v>7376</v>
      </c>
      <c r="I97">
        <v>1422</v>
      </c>
      <c r="J97" t="s">
        <v>32</v>
      </c>
    </row>
    <row r="98" spans="1:10" x14ac:dyDescent="0.35">
      <c r="A98" t="s">
        <v>159</v>
      </c>
      <c r="B98" s="1">
        <v>45165</v>
      </c>
      <c r="C98" t="s">
        <v>10</v>
      </c>
      <c r="D98" t="s">
        <v>25</v>
      </c>
      <c r="E98" t="s">
        <v>153</v>
      </c>
      <c r="F98">
        <v>4</v>
      </c>
      <c r="G98">
        <v>3891</v>
      </c>
      <c r="H98">
        <v>15564</v>
      </c>
      <c r="I98">
        <v>5644</v>
      </c>
      <c r="J98" t="s">
        <v>22</v>
      </c>
    </row>
    <row r="99" spans="1:10" x14ac:dyDescent="0.35">
      <c r="A99" t="s">
        <v>160</v>
      </c>
      <c r="B99" s="1">
        <v>45214</v>
      </c>
      <c r="C99" t="s">
        <v>24</v>
      </c>
      <c r="D99" t="s">
        <v>40</v>
      </c>
      <c r="E99" t="s">
        <v>89</v>
      </c>
      <c r="F99">
        <v>7</v>
      </c>
      <c r="G99">
        <v>840</v>
      </c>
      <c r="H99">
        <v>5880</v>
      </c>
      <c r="I99">
        <v>1463</v>
      </c>
      <c r="J99" t="s">
        <v>22</v>
      </c>
    </row>
    <row r="100" spans="1:10" x14ac:dyDescent="0.35">
      <c r="A100" t="s">
        <v>161</v>
      </c>
      <c r="B100" s="1">
        <v>45160</v>
      </c>
      <c r="C100" t="s">
        <v>19</v>
      </c>
      <c r="D100" t="s">
        <v>25</v>
      </c>
      <c r="E100" t="s">
        <v>53</v>
      </c>
      <c r="F100">
        <v>9</v>
      </c>
      <c r="G100">
        <v>3656</v>
      </c>
      <c r="H100">
        <v>32904</v>
      </c>
      <c r="I100">
        <v>8811</v>
      </c>
      <c r="J100" t="s">
        <v>13</v>
      </c>
    </row>
    <row r="101" spans="1:10" x14ac:dyDescent="0.35">
      <c r="A101" t="s">
        <v>162</v>
      </c>
      <c r="B101" s="1">
        <v>45177</v>
      </c>
      <c r="C101" t="s">
        <v>19</v>
      </c>
      <c r="D101" t="s">
        <v>20</v>
      </c>
      <c r="E101" t="s">
        <v>53</v>
      </c>
      <c r="F101">
        <v>8</v>
      </c>
      <c r="G101">
        <v>4807</v>
      </c>
      <c r="H101">
        <v>38456</v>
      </c>
      <c r="I101">
        <v>9199</v>
      </c>
      <c r="J101" t="s">
        <v>22</v>
      </c>
    </row>
    <row r="102" spans="1:10" x14ac:dyDescent="0.35">
      <c r="A102" t="s">
        <v>163</v>
      </c>
      <c r="B102" s="1">
        <v>45276</v>
      </c>
      <c r="C102" t="s">
        <v>19</v>
      </c>
      <c r="D102" t="s">
        <v>20</v>
      </c>
      <c r="E102" t="s">
        <v>28</v>
      </c>
      <c r="F102">
        <v>2</v>
      </c>
      <c r="G102">
        <v>3300</v>
      </c>
      <c r="H102">
        <v>6600</v>
      </c>
      <c r="I102">
        <v>727</v>
      </c>
      <c r="J102" t="s">
        <v>13</v>
      </c>
    </row>
    <row r="103" spans="1:10" x14ac:dyDescent="0.35">
      <c r="A103" t="s">
        <v>164</v>
      </c>
      <c r="B103" s="1">
        <v>45235</v>
      </c>
      <c r="C103" t="s">
        <v>19</v>
      </c>
      <c r="D103" t="s">
        <v>25</v>
      </c>
      <c r="E103" t="s">
        <v>55</v>
      </c>
      <c r="F103">
        <v>6</v>
      </c>
      <c r="G103">
        <v>2721</v>
      </c>
      <c r="H103">
        <v>16326</v>
      </c>
      <c r="I103">
        <v>4766</v>
      </c>
      <c r="J103" t="s">
        <v>32</v>
      </c>
    </row>
    <row r="104" spans="1:10" x14ac:dyDescent="0.35">
      <c r="A104" t="s">
        <v>165</v>
      </c>
      <c r="B104" s="1">
        <v>44982</v>
      </c>
      <c r="C104" t="s">
        <v>30</v>
      </c>
      <c r="D104" t="s">
        <v>11</v>
      </c>
      <c r="E104" t="s">
        <v>74</v>
      </c>
      <c r="F104">
        <v>4</v>
      </c>
      <c r="G104">
        <v>3193</v>
      </c>
      <c r="H104">
        <v>12772</v>
      </c>
      <c r="I104">
        <v>1974</v>
      </c>
      <c r="J104" t="s">
        <v>17</v>
      </c>
    </row>
    <row r="105" spans="1:10" x14ac:dyDescent="0.35">
      <c r="A105" t="s">
        <v>166</v>
      </c>
      <c r="B105" s="1">
        <v>44978</v>
      </c>
      <c r="C105" t="s">
        <v>30</v>
      </c>
      <c r="D105" t="s">
        <v>25</v>
      </c>
      <c r="E105" t="s">
        <v>92</v>
      </c>
      <c r="F105">
        <v>3</v>
      </c>
      <c r="G105">
        <v>4281</v>
      </c>
      <c r="H105">
        <v>12843</v>
      </c>
      <c r="I105">
        <v>4017</v>
      </c>
      <c r="J105" t="s">
        <v>13</v>
      </c>
    </row>
    <row r="106" spans="1:10" x14ac:dyDescent="0.35">
      <c r="A106" t="s">
        <v>167</v>
      </c>
      <c r="B106" s="1">
        <v>45163</v>
      </c>
      <c r="C106" t="s">
        <v>30</v>
      </c>
      <c r="D106" t="s">
        <v>11</v>
      </c>
      <c r="E106" t="s">
        <v>168</v>
      </c>
      <c r="F106">
        <v>2</v>
      </c>
      <c r="G106">
        <v>1281</v>
      </c>
      <c r="H106">
        <v>2562</v>
      </c>
      <c r="I106">
        <v>983</v>
      </c>
      <c r="J106" t="s">
        <v>13</v>
      </c>
    </row>
    <row r="107" spans="1:10" x14ac:dyDescent="0.35">
      <c r="A107" t="s">
        <v>169</v>
      </c>
      <c r="B107" s="1">
        <v>45120</v>
      </c>
      <c r="C107" t="s">
        <v>24</v>
      </c>
      <c r="D107" t="s">
        <v>20</v>
      </c>
      <c r="E107" t="s">
        <v>113</v>
      </c>
      <c r="F107">
        <v>4</v>
      </c>
      <c r="G107">
        <v>4015</v>
      </c>
      <c r="H107">
        <v>16060</v>
      </c>
      <c r="I107">
        <v>3034</v>
      </c>
      <c r="J107" t="s">
        <v>22</v>
      </c>
    </row>
    <row r="108" spans="1:10" x14ac:dyDescent="0.35">
      <c r="A108" t="s">
        <v>170</v>
      </c>
      <c r="B108" s="1">
        <v>45160</v>
      </c>
      <c r="C108" t="s">
        <v>24</v>
      </c>
      <c r="D108" t="s">
        <v>40</v>
      </c>
      <c r="E108" t="s">
        <v>100</v>
      </c>
      <c r="F108">
        <v>5</v>
      </c>
      <c r="G108">
        <v>1013</v>
      </c>
      <c r="H108">
        <v>5065</v>
      </c>
      <c r="I108">
        <v>705</v>
      </c>
      <c r="J108" t="s">
        <v>13</v>
      </c>
    </row>
    <row r="109" spans="1:10" x14ac:dyDescent="0.35">
      <c r="A109" t="s">
        <v>171</v>
      </c>
      <c r="B109" s="1">
        <v>45079</v>
      </c>
      <c r="C109" t="s">
        <v>19</v>
      </c>
      <c r="D109" t="s">
        <v>15</v>
      </c>
      <c r="E109" t="s">
        <v>153</v>
      </c>
      <c r="F109">
        <v>7</v>
      </c>
      <c r="G109">
        <v>3925</v>
      </c>
      <c r="H109">
        <v>27475</v>
      </c>
      <c r="I109">
        <v>3471</v>
      </c>
      <c r="J109" t="s">
        <v>13</v>
      </c>
    </row>
    <row r="110" spans="1:10" x14ac:dyDescent="0.35">
      <c r="A110" t="s">
        <v>172</v>
      </c>
      <c r="B110" s="1">
        <v>45117</v>
      </c>
      <c r="C110" t="s">
        <v>10</v>
      </c>
      <c r="D110" t="s">
        <v>11</v>
      </c>
      <c r="E110" t="s">
        <v>173</v>
      </c>
      <c r="F110">
        <v>4</v>
      </c>
      <c r="G110">
        <v>763</v>
      </c>
      <c r="H110">
        <v>3052</v>
      </c>
      <c r="I110">
        <v>666</v>
      </c>
      <c r="J110" t="s">
        <v>13</v>
      </c>
    </row>
    <row r="111" spans="1:10" x14ac:dyDescent="0.35">
      <c r="A111" t="s">
        <v>174</v>
      </c>
      <c r="B111" s="1">
        <v>45070</v>
      </c>
      <c r="C111" t="s">
        <v>30</v>
      </c>
      <c r="D111" t="s">
        <v>40</v>
      </c>
      <c r="E111" t="s">
        <v>113</v>
      </c>
      <c r="F111">
        <v>6</v>
      </c>
      <c r="G111">
        <v>2124</v>
      </c>
      <c r="H111">
        <v>12744</v>
      </c>
      <c r="I111">
        <v>3478</v>
      </c>
      <c r="J111" t="s">
        <v>32</v>
      </c>
    </row>
    <row r="112" spans="1:10" x14ac:dyDescent="0.35">
      <c r="A112" t="s">
        <v>175</v>
      </c>
      <c r="B112" s="1">
        <v>44988</v>
      </c>
      <c r="C112" t="s">
        <v>24</v>
      </c>
      <c r="D112" t="s">
        <v>11</v>
      </c>
      <c r="E112" t="s">
        <v>173</v>
      </c>
      <c r="F112">
        <v>4</v>
      </c>
      <c r="G112">
        <v>4387</v>
      </c>
      <c r="H112">
        <v>17548</v>
      </c>
      <c r="I112">
        <v>6611</v>
      </c>
      <c r="J112" t="s">
        <v>22</v>
      </c>
    </row>
    <row r="113" spans="1:10" x14ac:dyDescent="0.35">
      <c r="A113" t="s">
        <v>176</v>
      </c>
      <c r="B113" s="1">
        <v>44976</v>
      </c>
      <c r="C113" t="s">
        <v>24</v>
      </c>
      <c r="D113" t="s">
        <v>15</v>
      </c>
      <c r="E113" t="s">
        <v>55</v>
      </c>
      <c r="F113">
        <v>1</v>
      </c>
      <c r="G113">
        <v>585</v>
      </c>
      <c r="H113">
        <v>585</v>
      </c>
      <c r="I113">
        <v>137</v>
      </c>
      <c r="J113" t="s">
        <v>17</v>
      </c>
    </row>
    <row r="114" spans="1:10" x14ac:dyDescent="0.35">
      <c r="A114" t="s">
        <v>177</v>
      </c>
      <c r="B114" s="1">
        <v>45264</v>
      </c>
      <c r="C114" t="s">
        <v>19</v>
      </c>
      <c r="D114" t="s">
        <v>15</v>
      </c>
      <c r="E114" t="s">
        <v>68</v>
      </c>
      <c r="F114">
        <v>9</v>
      </c>
      <c r="G114">
        <v>4985</v>
      </c>
      <c r="H114">
        <v>44865</v>
      </c>
      <c r="I114">
        <v>8203</v>
      </c>
      <c r="J114" t="s">
        <v>22</v>
      </c>
    </row>
    <row r="115" spans="1:10" x14ac:dyDescent="0.35">
      <c r="A115" t="s">
        <v>178</v>
      </c>
      <c r="B115" s="1">
        <v>45034</v>
      </c>
      <c r="C115" t="s">
        <v>24</v>
      </c>
      <c r="D115" t="s">
        <v>15</v>
      </c>
      <c r="E115" t="s">
        <v>179</v>
      </c>
      <c r="F115">
        <v>8</v>
      </c>
      <c r="G115">
        <v>1768</v>
      </c>
      <c r="H115">
        <v>14144</v>
      </c>
      <c r="I115">
        <v>2848</v>
      </c>
      <c r="J115" t="s">
        <v>13</v>
      </c>
    </row>
    <row r="116" spans="1:10" x14ac:dyDescent="0.35">
      <c r="A116" t="s">
        <v>180</v>
      </c>
      <c r="B116" s="1">
        <v>45162</v>
      </c>
      <c r="C116" t="s">
        <v>24</v>
      </c>
      <c r="D116" t="s">
        <v>20</v>
      </c>
      <c r="E116" t="s">
        <v>43</v>
      </c>
      <c r="F116">
        <v>10</v>
      </c>
      <c r="G116">
        <v>3091</v>
      </c>
      <c r="H116">
        <v>30910</v>
      </c>
      <c r="I116">
        <v>6611</v>
      </c>
      <c r="J116" t="s">
        <v>32</v>
      </c>
    </row>
    <row r="117" spans="1:10" x14ac:dyDescent="0.35">
      <c r="A117" t="s">
        <v>181</v>
      </c>
      <c r="B117" s="1">
        <v>45201</v>
      </c>
      <c r="C117" t="s">
        <v>30</v>
      </c>
      <c r="D117" t="s">
        <v>11</v>
      </c>
      <c r="E117" t="s">
        <v>21</v>
      </c>
      <c r="F117">
        <v>7</v>
      </c>
      <c r="G117">
        <v>1324</v>
      </c>
      <c r="H117">
        <v>9268</v>
      </c>
      <c r="I117">
        <v>2045</v>
      </c>
      <c r="J117" t="s">
        <v>22</v>
      </c>
    </row>
    <row r="118" spans="1:10" x14ac:dyDescent="0.35">
      <c r="A118" t="s">
        <v>182</v>
      </c>
      <c r="B118" s="1">
        <v>45235</v>
      </c>
      <c r="C118" t="s">
        <v>10</v>
      </c>
      <c r="D118" t="s">
        <v>11</v>
      </c>
      <c r="E118" t="s">
        <v>43</v>
      </c>
      <c r="F118">
        <v>4</v>
      </c>
      <c r="G118">
        <v>2185</v>
      </c>
      <c r="H118">
        <v>8740</v>
      </c>
      <c r="I118">
        <v>2018</v>
      </c>
      <c r="J118" t="s">
        <v>13</v>
      </c>
    </row>
    <row r="119" spans="1:10" x14ac:dyDescent="0.35">
      <c r="A119" t="s">
        <v>183</v>
      </c>
      <c r="B119" s="1">
        <v>45058</v>
      </c>
      <c r="C119" t="s">
        <v>30</v>
      </c>
      <c r="D119" t="s">
        <v>15</v>
      </c>
      <c r="E119" t="s">
        <v>55</v>
      </c>
      <c r="F119">
        <v>2</v>
      </c>
      <c r="G119">
        <v>4049</v>
      </c>
      <c r="H119">
        <v>8098</v>
      </c>
      <c r="I119">
        <v>2412</v>
      </c>
      <c r="J119" t="s">
        <v>13</v>
      </c>
    </row>
    <row r="120" spans="1:10" x14ac:dyDescent="0.35">
      <c r="A120" t="s">
        <v>184</v>
      </c>
      <c r="B120" s="1">
        <v>45049</v>
      </c>
      <c r="C120" t="s">
        <v>30</v>
      </c>
      <c r="D120" t="s">
        <v>20</v>
      </c>
      <c r="E120" t="s">
        <v>48</v>
      </c>
      <c r="F120">
        <v>7</v>
      </c>
      <c r="G120">
        <v>3091</v>
      </c>
      <c r="H120">
        <v>21637</v>
      </c>
      <c r="I120">
        <v>2412</v>
      </c>
      <c r="J120" t="s">
        <v>32</v>
      </c>
    </row>
    <row r="121" spans="1:10" x14ac:dyDescent="0.35">
      <c r="A121" t="s">
        <v>185</v>
      </c>
      <c r="B121" s="1">
        <v>45250</v>
      </c>
      <c r="C121" t="s">
        <v>24</v>
      </c>
      <c r="D121" t="s">
        <v>40</v>
      </c>
      <c r="E121" t="s">
        <v>100</v>
      </c>
      <c r="F121">
        <v>4</v>
      </c>
      <c r="G121">
        <v>4194</v>
      </c>
      <c r="H121">
        <v>16776</v>
      </c>
      <c r="I121">
        <v>3789</v>
      </c>
      <c r="J121" t="s">
        <v>13</v>
      </c>
    </row>
    <row r="122" spans="1:10" x14ac:dyDescent="0.35">
      <c r="A122" t="s">
        <v>186</v>
      </c>
      <c r="B122" s="1">
        <v>45059</v>
      </c>
      <c r="C122" t="s">
        <v>24</v>
      </c>
      <c r="D122" t="s">
        <v>25</v>
      </c>
      <c r="E122" t="s">
        <v>149</v>
      </c>
      <c r="F122">
        <v>5</v>
      </c>
      <c r="G122">
        <v>1405</v>
      </c>
      <c r="H122">
        <v>7025</v>
      </c>
      <c r="I122">
        <v>1221</v>
      </c>
      <c r="J122" t="s">
        <v>22</v>
      </c>
    </row>
    <row r="123" spans="1:10" x14ac:dyDescent="0.35">
      <c r="A123" t="s">
        <v>187</v>
      </c>
      <c r="B123" s="1">
        <v>44957</v>
      </c>
      <c r="C123" t="s">
        <v>19</v>
      </c>
      <c r="D123" t="s">
        <v>15</v>
      </c>
      <c r="E123" t="s">
        <v>62</v>
      </c>
      <c r="F123">
        <v>2</v>
      </c>
      <c r="G123">
        <v>3282</v>
      </c>
      <c r="H123">
        <v>6564</v>
      </c>
      <c r="I123">
        <v>820</v>
      </c>
      <c r="J123" t="s">
        <v>17</v>
      </c>
    </row>
    <row r="124" spans="1:10" x14ac:dyDescent="0.35">
      <c r="A124" t="s">
        <v>188</v>
      </c>
      <c r="B124" s="1">
        <v>45226</v>
      </c>
      <c r="C124" t="s">
        <v>30</v>
      </c>
      <c r="D124" t="s">
        <v>15</v>
      </c>
      <c r="E124" t="s">
        <v>34</v>
      </c>
      <c r="F124">
        <v>5</v>
      </c>
      <c r="G124">
        <v>3311</v>
      </c>
      <c r="H124">
        <v>16555</v>
      </c>
      <c r="I124">
        <v>5519</v>
      </c>
      <c r="J124" t="s">
        <v>22</v>
      </c>
    </row>
    <row r="125" spans="1:10" x14ac:dyDescent="0.35">
      <c r="A125" t="s">
        <v>189</v>
      </c>
      <c r="B125" s="1">
        <v>45271</v>
      </c>
      <c r="C125" t="s">
        <v>24</v>
      </c>
      <c r="D125" t="s">
        <v>11</v>
      </c>
      <c r="E125" t="s">
        <v>58</v>
      </c>
      <c r="F125">
        <v>9</v>
      </c>
      <c r="G125">
        <v>2014</v>
      </c>
      <c r="H125">
        <v>18126</v>
      </c>
      <c r="I125">
        <v>6327</v>
      </c>
      <c r="J125" t="s">
        <v>22</v>
      </c>
    </row>
    <row r="126" spans="1:10" x14ac:dyDescent="0.35">
      <c r="A126" t="s">
        <v>190</v>
      </c>
      <c r="B126" s="1">
        <v>45063</v>
      </c>
      <c r="C126" t="s">
        <v>10</v>
      </c>
      <c r="D126" t="s">
        <v>40</v>
      </c>
      <c r="E126" t="s">
        <v>60</v>
      </c>
      <c r="F126">
        <v>1</v>
      </c>
      <c r="G126">
        <v>1817</v>
      </c>
      <c r="H126">
        <v>1817</v>
      </c>
      <c r="I126">
        <v>430</v>
      </c>
      <c r="J126" t="s">
        <v>22</v>
      </c>
    </row>
    <row r="127" spans="1:10" x14ac:dyDescent="0.35">
      <c r="A127" t="s">
        <v>191</v>
      </c>
      <c r="B127" s="1">
        <v>45128</v>
      </c>
      <c r="C127" t="s">
        <v>30</v>
      </c>
      <c r="D127" t="s">
        <v>11</v>
      </c>
      <c r="E127" t="s">
        <v>71</v>
      </c>
      <c r="F127">
        <v>5</v>
      </c>
      <c r="G127">
        <v>4480</v>
      </c>
      <c r="H127">
        <v>22400</v>
      </c>
      <c r="I127">
        <v>7795</v>
      </c>
      <c r="J127" t="s">
        <v>13</v>
      </c>
    </row>
    <row r="128" spans="1:10" x14ac:dyDescent="0.35">
      <c r="A128" t="s">
        <v>192</v>
      </c>
      <c r="B128" s="1">
        <v>44948</v>
      </c>
      <c r="C128" t="s">
        <v>10</v>
      </c>
      <c r="D128" t="s">
        <v>25</v>
      </c>
      <c r="E128" t="s">
        <v>168</v>
      </c>
      <c r="F128">
        <v>7</v>
      </c>
      <c r="G128">
        <v>892</v>
      </c>
      <c r="H128">
        <v>6244</v>
      </c>
      <c r="I128">
        <v>1248</v>
      </c>
      <c r="J128" t="s">
        <v>22</v>
      </c>
    </row>
    <row r="129" spans="1:10" x14ac:dyDescent="0.35">
      <c r="A129" t="s">
        <v>193</v>
      </c>
      <c r="B129" s="1">
        <v>45182</v>
      </c>
      <c r="C129" t="s">
        <v>24</v>
      </c>
      <c r="D129" t="s">
        <v>20</v>
      </c>
      <c r="E129" t="s">
        <v>28</v>
      </c>
      <c r="F129">
        <v>3</v>
      </c>
      <c r="G129">
        <v>2860</v>
      </c>
      <c r="H129">
        <v>8580</v>
      </c>
      <c r="I129">
        <v>1808</v>
      </c>
      <c r="J129" t="s">
        <v>32</v>
      </c>
    </row>
    <row r="130" spans="1:10" x14ac:dyDescent="0.35">
      <c r="A130" t="s">
        <v>194</v>
      </c>
      <c r="B130" s="1">
        <v>44963</v>
      </c>
      <c r="C130" t="s">
        <v>19</v>
      </c>
      <c r="D130" t="s">
        <v>40</v>
      </c>
      <c r="E130" t="s">
        <v>102</v>
      </c>
      <c r="F130">
        <v>6</v>
      </c>
      <c r="G130">
        <v>4232</v>
      </c>
      <c r="H130">
        <v>25392</v>
      </c>
      <c r="I130">
        <v>5520</v>
      </c>
      <c r="J130" t="s">
        <v>22</v>
      </c>
    </row>
    <row r="131" spans="1:10" x14ac:dyDescent="0.35">
      <c r="A131" t="s">
        <v>195</v>
      </c>
      <c r="B131" s="1">
        <v>44960</v>
      </c>
      <c r="C131" t="s">
        <v>10</v>
      </c>
      <c r="D131" t="s">
        <v>25</v>
      </c>
      <c r="E131" t="s">
        <v>168</v>
      </c>
      <c r="F131">
        <v>6</v>
      </c>
      <c r="G131">
        <v>3064</v>
      </c>
      <c r="H131">
        <v>18384</v>
      </c>
      <c r="I131">
        <v>2706</v>
      </c>
      <c r="J131" t="s">
        <v>32</v>
      </c>
    </row>
    <row r="132" spans="1:10" x14ac:dyDescent="0.35">
      <c r="A132" t="s">
        <v>196</v>
      </c>
      <c r="B132" s="1">
        <v>45267</v>
      </c>
      <c r="C132" t="s">
        <v>24</v>
      </c>
      <c r="D132" t="s">
        <v>15</v>
      </c>
      <c r="E132" t="s">
        <v>71</v>
      </c>
      <c r="F132">
        <v>3</v>
      </c>
      <c r="G132">
        <v>738</v>
      </c>
      <c r="H132">
        <v>2214</v>
      </c>
      <c r="I132">
        <v>573</v>
      </c>
      <c r="J132" t="s">
        <v>17</v>
      </c>
    </row>
    <row r="133" spans="1:10" x14ac:dyDescent="0.35">
      <c r="A133" t="s">
        <v>197</v>
      </c>
      <c r="B133" s="1">
        <v>44937</v>
      </c>
      <c r="C133" t="s">
        <v>30</v>
      </c>
      <c r="D133" t="s">
        <v>25</v>
      </c>
      <c r="E133" t="s">
        <v>64</v>
      </c>
      <c r="F133">
        <v>8</v>
      </c>
      <c r="G133">
        <v>2558</v>
      </c>
      <c r="H133">
        <v>20464</v>
      </c>
      <c r="I133">
        <v>3584</v>
      </c>
      <c r="J133" t="s">
        <v>32</v>
      </c>
    </row>
    <row r="134" spans="1:10" x14ac:dyDescent="0.35">
      <c r="A134" t="s">
        <v>198</v>
      </c>
      <c r="B134" s="1">
        <v>45142</v>
      </c>
      <c r="C134" t="s">
        <v>19</v>
      </c>
      <c r="D134" t="s">
        <v>20</v>
      </c>
      <c r="E134" t="s">
        <v>151</v>
      </c>
      <c r="F134">
        <v>4</v>
      </c>
      <c r="G134">
        <v>1757</v>
      </c>
      <c r="H134">
        <v>7028</v>
      </c>
      <c r="I134">
        <v>2521</v>
      </c>
      <c r="J134" t="s">
        <v>32</v>
      </c>
    </row>
    <row r="135" spans="1:10" x14ac:dyDescent="0.35">
      <c r="A135" t="s">
        <v>199</v>
      </c>
      <c r="B135" s="1">
        <v>45162</v>
      </c>
      <c r="C135" t="s">
        <v>24</v>
      </c>
      <c r="D135" t="s">
        <v>40</v>
      </c>
      <c r="E135" t="s">
        <v>149</v>
      </c>
      <c r="F135">
        <v>8</v>
      </c>
      <c r="G135">
        <v>790</v>
      </c>
      <c r="H135">
        <v>6320</v>
      </c>
      <c r="I135">
        <v>1616</v>
      </c>
      <c r="J135" t="s">
        <v>17</v>
      </c>
    </row>
    <row r="136" spans="1:10" x14ac:dyDescent="0.35">
      <c r="A136" t="s">
        <v>200</v>
      </c>
      <c r="B136" s="1">
        <v>45118</v>
      </c>
      <c r="C136" t="s">
        <v>10</v>
      </c>
      <c r="D136" t="s">
        <v>25</v>
      </c>
      <c r="E136" t="s">
        <v>31</v>
      </c>
      <c r="F136">
        <v>2</v>
      </c>
      <c r="G136">
        <v>1733</v>
      </c>
      <c r="H136">
        <v>3466</v>
      </c>
      <c r="I136">
        <v>1055</v>
      </c>
      <c r="J136" t="s">
        <v>32</v>
      </c>
    </row>
    <row r="137" spans="1:10" x14ac:dyDescent="0.35">
      <c r="A137" t="s">
        <v>201</v>
      </c>
      <c r="B137" s="1">
        <v>44950</v>
      </c>
      <c r="C137" t="s">
        <v>19</v>
      </c>
      <c r="D137" t="s">
        <v>15</v>
      </c>
      <c r="E137" t="s">
        <v>149</v>
      </c>
      <c r="F137">
        <v>7</v>
      </c>
      <c r="G137">
        <v>656</v>
      </c>
      <c r="H137">
        <v>4592</v>
      </c>
      <c r="I137">
        <v>1829</v>
      </c>
      <c r="J137" t="s">
        <v>32</v>
      </c>
    </row>
    <row r="138" spans="1:10" x14ac:dyDescent="0.35">
      <c r="A138" t="s">
        <v>202</v>
      </c>
      <c r="B138" s="1">
        <v>45281</v>
      </c>
      <c r="C138" t="s">
        <v>30</v>
      </c>
      <c r="D138" t="s">
        <v>20</v>
      </c>
      <c r="E138" t="s">
        <v>87</v>
      </c>
      <c r="F138">
        <v>8</v>
      </c>
      <c r="G138">
        <v>2845</v>
      </c>
      <c r="H138">
        <v>22760</v>
      </c>
      <c r="I138">
        <v>3190</v>
      </c>
      <c r="J138" t="s">
        <v>13</v>
      </c>
    </row>
    <row r="139" spans="1:10" x14ac:dyDescent="0.35">
      <c r="A139" t="s">
        <v>203</v>
      </c>
      <c r="B139" s="1">
        <v>45008</v>
      </c>
      <c r="C139" t="s">
        <v>19</v>
      </c>
      <c r="D139" t="s">
        <v>40</v>
      </c>
      <c r="E139" t="s">
        <v>149</v>
      </c>
      <c r="F139">
        <v>6</v>
      </c>
      <c r="G139">
        <v>4491</v>
      </c>
      <c r="H139">
        <v>26946</v>
      </c>
      <c r="I139">
        <v>9120</v>
      </c>
      <c r="J139" t="s">
        <v>32</v>
      </c>
    </row>
    <row r="140" spans="1:10" x14ac:dyDescent="0.35">
      <c r="A140" t="s">
        <v>204</v>
      </c>
      <c r="B140" s="1">
        <v>45254</v>
      </c>
      <c r="C140" t="s">
        <v>30</v>
      </c>
      <c r="D140" t="s">
        <v>20</v>
      </c>
      <c r="E140" t="s">
        <v>28</v>
      </c>
      <c r="F140">
        <v>2</v>
      </c>
      <c r="G140">
        <v>1337</v>
      </c>
      <c r="H140">
        <v>2674</v>
      </c>
      <c r="I140">
        <v>610</v>
      </c>
      <c r="J140" t="s">
        <v>17</v>
      </c>
    </row>
    <row r="141" spans="1:10" x14ac:dyDescent="0.35">
      <c r="A141" t="s">
        <v>205</v>
      </c>
      <c r="B141" s="1">
        <v>45179</v>
      </c>
      <c r="C141" t="s">
        <v>30</v>
      </c>
      <c r="D141" t="s">
        <v>11</v>
      </c>
      <c r="E141" t="s">
        <v>123</v>
      </c>
      <c r="F141">
        <v>9</v>
      </c>
      <c r="G141">
        <v>1901</v>
      </c>
      <c r="H141">
        <v>17109</v>
      </c>
      <c r="I141">
        <v>3010</v>
      </c>
      <c r="J141" t="s">
        <v>13</v>
      </c>
    </row>
    <row r="142" spans="1:10" x14ac:dyDescent="0.35">
      <c r="A142" t="s">
        <v>206</v>
      </c>
      <c r="B142" s="1">
        <v>45230</v>
      </c>
      <c r="C142" t="s">
        <v>30</v>
      </c>
      <c r="D142" t="s">
        <v>40</v>
      </c>
      <c r="E142" t="s">
        <v>137</v>
      </c>
      <c r="F142">
        <v>7</v>
      </c>
      <c r="G142">
        <v>4559</v>
      </c>
      <c r="H142">
        <v>31913</v>
      </c>
      <c r="I142">
        <v>8729</v>
      </c>
      <c r="J142" t="s">
        <v>13</v>
      </c>
    </row>
    <row r="143" spans="1:10" x14ac:dyDescent="0.35">
      <c r="A143" t="s">
        <v>207</v>
      </c>
      <c r="B143" s="1">
        <v>45176</v>
      </c>
      <c r="C143" t="s">
        <v>19</v>
      </c>
      <c r="D143" t="s">
        <v>15</v>
      </c>
      <c r="E143" t="s">
        <v>208</v>
      </c>
      <c r="F143">
        <v>1</v>
      </c>
      <c r="G143">
        <v>4845</v>
      </c>
      <c r="H143">
        <v>4845</v>
      </c>
      <c r="I143">
        <v>763</v>
      </c>
      <c r="J143" t="s">
        <v>17</v>
      </c>
    </row>
    <row r="144" spans="1:10" x14ac:dyDescent="0.35">
      <c r="A144" t="s">
        <v>209</v>
      </c>
      <c r="B144" s="1">
        <v>45212</v>
      </c>
      <c r="C144" t="s">
        <v>24</v>
      </c>
      <c r="D144" t="s">
        <v>25</v>
      </c>
      <c r="E144" t="s">
        <v>128</v>
      </c>
      <c r="F144">
        <v>2</v>
      </c>
      <c r="G144">
        <v>561</v>
      </c>
      <c r="H144">
        <v>1122</v>
      </c>
      <c r="I144">
        <v>115</v>
      </c>
      <c r="J144" t="s">
        <v>22</v>
      </c>
    </row>
    <row r="145" spans="1:10" x14ac:dyDescent="0.35">
      <c r="A145" t="s">
        <v>210</v>
      </c>
      <c r="B145" s="1">
        <v>44944</v>
      </c>
      <c r="C145" t="s">
        <v>10</v>
      </c>
      <c r="D145" t="s">
        <v>25</v>
      </c>
      <c r="E145" t="s">
        <v>211</v>
      </c>
      <c r="F145">
        <v>4</v>
      </c>
      <c r="G145">
        <v>2946</v>
      </c>
      <c r="H145">
        <v>11784</v>
      </c>
      <c r="I145">
        <v>4556</v>
      </c>
      <c r="J145" t="s">
        <v>17</v>
      </c>
    </row>
    <row r="146" spans="1:10" x14ac:dyDescent="0.35">
      <c r="A146" t="s">
        <v>212</v>
      </c>
      <c r="B146" s="1">
        <v>45109</v>
      </c>
      <c r="C146" t="s">
        <v>19</v>
      </c>
      <c r="D146" t="s">
        <v>15</v>
      </c>
      <c r="E146" t="s">
        <v>80</v>
      </c>
      <c r="F146">
        <v>3</v>
      </c>
      <c r="G146">
        <v>1968</v>
      </c>
      <c r="H146">
        <v>5904</v>
      </c>
      <c r="I146">
        <v>1260</v>
      </c>
      <c r="J146" t="s">
        <v>17</v>
      </c>
    </row>
    <row r="147" spans="1:10" x14ac:dyDescent="0.35">
      <c r="A147" t="s">
        <v>213</v>
      </c>
      <c r="B147" s="1">
        <v>45115</v>
      </c>
      <c r="C147" t="s">
        <v>10</v>
      </c>
      <c r="D147" t="s">
        <v>15</v>
      </c>
      <c r="E147" t="s">
        <v>78</v>
      </c>
      <c r="F147">
        <v>5</v>
      </c>
      <c r="G147">
        <v>3107</v>
      </c>
      <c r="H147">
        <v>15535</v>
      </c>
      <c r="I147">
        <v>4094</v>
      </c>
      <c r="J147" t="s">
        <v>13</v>
      </c>
    </row>
    <row r="148" spans="1:10" x14ac:dyDescent="0.35">
      <c r="A148" t="s">
        <v>214</v>
      </c>
      <c r="B148" s="1">
        <v>45174</v>
      </c>
      <c r="C148" t="s">
        <v>10</v>
      </c>
      <c r="D148" t="s">
        <v>40</v>
      </c>
      <c r="E148" t="s">
        <v>113</v>
      </c>
      <c r="F148">
        <v>10</v>
      </c>
      <c r="G148">
        <v>2276</v>
      </c>
      <c r="H148">
        <v>22760</v>
      </c>
      <c r="I148">
        <v>2826</v>
      </c>
      <c r="J148" t="s">
        <v>32</v>
      </c>
    </row>
    <row r="149" spans="1:10" x14ac:dyDescent="0.35">
      <c r="A149" t="s">
        <v>215</v>
      </c>
      <c r="B149" s="1">
        <v>45247</v>
      </c>
      <c r="C149" t="s">
        <v>24</v>
      </c>
      <c r="D149" t="s">
        <v>40</v>
      </c>
      <c r="E149" t="s">
        <v>216</v>
      </c>
      <c r="F149">
        <v>10</v>
      </c>
      <c r="G149">
        <v>2001</v>
      </c>
      <c r="H149">
        <v>20010</v>
      </c>
      <c r="I149">
        <v>2308</v>
      </c>
      <c r="J149" t="s">
        <v>32</v>
      </c>
    </row>
    <row r="150" spans="1:10" x14ac:dyDescent="0.35">
      <c r="A150" t="s">
        <v>217</v>
      </c>
      <c r="B150" s="1">
        <v>44937</v>
      </c>
      <c r="C150" t="s">
        <v>24</v>
      </c>
      <c r="D150" t="s">
        <v>20</v>
      </c>
      <c r="E150" t="s">
        <v>218</v>
      </c>
      <c r="F150">
        <v>4</v>
      </c>
      <c r="G150">
        <v>4379</v>
      </c>
      <c r="H150">
        <v>17516</v>
      </c>
      <c r="I150">
        <v>3971</v>
      </c>
      <c r="J150" t="s">
        <v>17</v>
      </c>
    </row>
    <row r="151" spans="1:10" x14ac:dyDescent="0.35">
      <c r="A151" t="s">
        <v>219</v>
      </c>
      <c r="B151" s="1">
        <v>45023</v>
      </c>
      <c r="C151" t="s">
        <v>19</v>
      </c>
      <c r="D151" t="s">
        <v>11</v>
      </c>
      <c r="E151" t="s">
        <v>208</v>
      </c>
      <c r="F151">
        <v>4</v>
      </c>
      <c r="G151">
        <v>3921</v>
      </c>
      <c r="H151">
        <v>15684</v>
      </c>
      <c r="I151">
        <v>2426</v>
      </c>
      <c r="J151" t="s">
        <v>17</v>
      </c>
    </row>
    <row r="152" spans="1:10" x14ac:dyDescent="0.35">
      <c r="A152" t="s">
        <v>220</v>
      </c>
      <c r="B152" s="1">
        <v>45146</v>
      </c>
      <c r="C152" t="s">
        <v>19</v>
      </c>
      <c r="D152" t="s">
        <v>11</v>
      </c>
      <c r="E152" t="s">
        <v>118</v>
      </c>
      <c r="F152">
        <v>3</v>
      </c>
      <c r="G152">
        <v>4004</v>
      </c>
      <c r="H152">
        <v>12012</v>
      </c>
      <c r="I152">
        <v>4263</v>
      </c>
      <c r="J152" t="s">
        <v>22</v>
      </c>
    </row>
    <row r="153" spans="1:10" x14ac:dyDescent="0.35">
      <c r="A153" t="s">
        <v>221</v>
      </c>
      <c r="B153" s="1">
        <v>44958</v>
      </c>
      <c r="C153" t="s">
        <v>24</v>
      </c>
      <c r="D153" t="s">
        <v>25</v>
      </c>
      <c r="E153" t="s">
        <v>118</v>
      </c>
      <c r="F153">
        <v>2</v>
      </c>
      <c r="G153">
        <v>2661</v>
      </c>
      <c r="H153">
        <v>5322</v>
      </c>
      <c r="I153">
        <v>1574</v>
      </c>
      <c r="J153" t="s">
        <v>13</v>
      </c>
    </row>
    <row r="154" spans="1:10" x14ac:dyDescent="0.35">
      <c r="A154" t="s">
        <v>222</v>
      </c>
      <c r="B154" s="1">
        <v>45022</v>
      </c>
      <c r="C154" t="s">
        <v>19</v>
      </c>
      <c r="D154" t="s">
        <v>25</v>
      </c>
      <c r="E154" t="s">
        <v>126</v>
      </c>
      <c r="F154">
        <v>2</v>
      </c>
      <c r="G154">
        <v>1274</v>
      </c>
      <c r="H154">
        <v>2548</v>
      </c>
      <c r="I154">
        <v>430</v>
      </c>
      <c r="J154" t="s">
        <v>17</v>
      </c>
    </row>
    <row r="155" spans="1:10" x14ac:dyDescent="0.35">
      <c r="A155" t="s">
        <v>223</v>
      </c>
      <c r="B155" s="1">
        <v>45114</v>
      </c>
      <c r="C155" t="s">
        <v>30</v>
      </c>
      <c r="D155" t="s">
        <v>40</v>
      </c>
      <c r="E155" t="s">
        <v>168</v>
      </c>
      <c r="F155">
        <v>9</v>
      </c>
      <c r="G155">
        <v>4530</v>
      </c>
      <c r="H155">
        <v>40770</v>
      </c>
      <c r="I155">
        <v>14906</v>
      </c>
      <c r="J155" t="s">
        <v>17</v>
      </c>
    </row>
    <row r="156" spans="1:10" x14ac:dyDescent="0.35">
      <c r="A156" t="s">
        <v>224</v>
      </c>
      <c r="B156" s="1">
        <v>45104</v>
      </c>
      <c r="C156" t="s">
        <v>10</v>
      </c>
      <c r="D156" t="s">
        <v>20</v>
      </c>
      <c r="E156" t="s">
        <v>153</v>
      </c>
      <c r="F156">
        <v>5</v>
      </c>
      <c r="G156">
        <v>2274</v>
      </c>
      <c r="H156">
        <v>11370</v>
      </c>
      <c r="I156">
        <v>2985</v>
      </c>
      <c r="J156" t="s">
        <v>13</v>
      </c>
    </row>
    <row r="157" spans="1:10" x14ac:dyDescent="0.35">
      <c r="A157" t="s">
        <v>225</v>
      </c>
      <c r="B157" s="1">
        <v>45232</v>
      </c>
      <c r="C157" t="s">
        <v>24</v>
      </c>
      <c r="D157" t="s">
        <v>11</v>
      </c>
      <c r="E157" t="s">
        <v>208</v>
      </c>
      <c r="F157">
        <v>2</v>
      </c>
      <c r="G157">
        <v>1928</v>
      </c>
      <c r="H157">
        <v>3856</v>
      </c>
      <c r="I157">
        <v>387</v>
      </c>
      <c r="J157" t="s">
        <v>22</v>
      </c>
    </row>
    <row r="158" spans="1:10" x14ac:dyDescent="0.35">
      <c r="A158" t="s">
        <v>226</v>
      </c>
      <c r="B158" s="1">
        <v>45118</v>
      </c>
      <c r="C158" t="s">
        <v>10</v>
      </c>
      <c r="D158" t="s">
        <v>20</v>
      </c>
      <c r="E158" t="s">
        <v>168</v>
      </c>
      <c r="F158">
        <v>6</v>
      </c>
      <c r="G158">
        <v>1940</v>
      </c>
      <c r="H158">
        <v>11640</v>
      </c>
      <c r="I158">
        <v>1560</v>
      </c>
      <c r="J158" t="s">
        <v>32</v>
      </c>
    </row>
    <row r="159" spans="1:10" x14ac:dyDescent="0.35">
      <c r="A159" t="s">
        <v>227</v>
      </c>
      <c r="B159" s="1">
        <v>45199</v>
      </c>
      <c r="C159" t="s">
        <v>30</v>
      </c>
      <c r="D159" t="s">
        <v>15</v>
      </c>
      <c r="E159" t="s">
        <v>113</v>
      </c>
      <c r="F159">
        <v>4</v>
      </c>
      <c r="G159">
        <v>3508</v>
      </c>
      <c r="H159">
        <v>14032</v>
      </c>
      <c r="I159">
        <v>2235</v>
      </c>
      <c r="J159" t="s">
        <v>17</v>
      </c>
    </row>
    <row r="160" spans="1:10" x14ac:dyDescent="0.35">
      <c r="A160" t="s">
        <v>228</v>
      </c>
      <c r="B160" s="1">
        <v>45240</v>
      </c>
      <c r="C160" t="s">
        <v>24</v>
      </c>
      <c r="D160" t="s">
        <v>25</v>
      </c>
      <c r="E160" t="s">
        <v>130</v>
      </c>
      <c r="F160">
        <v>1</v>
      </c>
      <c r="G160">
        <v>2660</v>
      </c>
      <c r="H160">
        <v>2660</v>
      </c>
      <c r="I160">
        <v>543</v>
      </c>
      <c r="J160" t="s">
        <v>17</v>
      </c>
    </row>
    <row r="161" spans="1:10" x14ac:dyDescent="0.35">
      <c r="A161" t="s">
        <v>229</v>
      </c>
      <c r="B161" s="1">
        <v>45022</v>
      </c>
      <c r="C161" t="s">
        <v>24</v>
      </c>
      <c r="D161" t="s">
        <v>15</v>
      </c>
      <c r="E161" t="s">
        <v>28</v>
      </c>
      <c r="F161">
        <v>3</v>
      </c>
      <c r="G161">
        <v>2200</v>
      </c>
      <c r="H161">
        <v>6600</v>
      </c>
      <c r="I161">
        <v>1242</v>
      </c>
      <c r="J161" t="s">
        <v>13</v>
      </c>
    </row>
    <row r="162" spans="1:10" x14ac:dyDescent="0.35">
      <c r="A162" t="s">
        <v>230</v>
      </c>
      <c r="B162" s="1">
        <v>45138</v>
      </c>
      <c r="C162" t="s">
        <v>30</v>
      </c>
      <c r="D162" t="s">
        <v>25</v>
      </c>
      <c r="E162" t="s">
        <v>118</v>
      </c>
      <c r="F162">
        <v>9</v>
      </c>
      <c r="G162">
        <v>1144</v>
      </c>
      <c r="H162">
        <v>10296</v>
      </c>
      <c r="I162">
        <v>1391</v>
      </c>
      <c r="J162" t="s">
        <v>13</v>
      </c>
    </row>
    <row r="163" spans="1:10" x14ac:dyDescent="0.35">
      <c r="A163" t="s">
        <v>231</v>
      </c>
      <c r="B163" s="1">
        <v>45043</v>
      </c>
      <c r="C163" t="s">
        <v>10</v>
      </c>
      <c r="D163" t="s">
        <v>11</v>
      </c>
      <c r="E163" t="s">
        <v>130</v>
      </c>
      <c r="F163">
        <v>10</v>
      </c>
      <c r="G163">
        <v>3017</v>
      </c>
      <c r="H163">
        <v>30170</v>
      </c>
      <c r="I163">
        <v>6474</v>
      </c>
      <c r="J163" t="s">
        <v>17</v>
      </c>
    </row>
    <row r="164" spans="1:10" x14ac:dyDescent="0.35">
      <c r="A164" t="s">
        <v>232</v>
      </c>
      <c r="B164" s="1">
        <v>45181</v>
      </c>
      <c r="C164" t="s">
        <v>30</v>
      </c>
      <c r="D164" t="s">
        <v>15</v>
      </c>
      <c r="E164" t="s">
        <v>216</v>
      </c>
      <c r="F164">
        <v>4</v>
      </c>
      <c r="G164">
        <v>531</v>
      </c>
      <c r="H164">
        <v>2124</v>
      </c>
      <c r="I164">
        <v>545</v>
      </c>
      <c r="J164" t="s">
        <v>22</v>
      </c>
    </row>
    <row r="165" spans="1:10" x14ac:dyDescent="0.35">
      <c r="A165" t="s">
        <v>233</v>
      </c>
      <c r="B165" s="1">
        <v>45119</v>
      </c>
      <c r="C165" t="s">
        <v>19</v>
      </c>
      <c r="D165" t="s">
        <v>25</v>
      </c>
      <c r="E165" t="s">
        <v>118</v>
      </c>
      <c r="F165">
        <v>4</v>
      </c>
      <c r="G165">
        <v>2369</v>
      </c>
      <c r="H165">
        <v>9476</v>
      </c>
      <c r="I165">
        <v>3712</v>
      </c>
      <c r="J165" t="s">
        <v>32</v>
      </c>
    </row>
    <row r="166" spans="1:10" x14ac:dyDescent="0.35">
      <c r="A166" t="s">
        <v>234</v>
      </c>
      <c r="B166" s="1">
        <v>45090</v>
      </c>
      <c r="C166" t="s">
        <v>24</v>
      </c>
      <c r="D166" t="s">
        <v>40</v>
      </c>
      <c r="E166" t="s">
        <v>26</v>
      </c>
      <c r="F166">
        <v>4</v>
      </c>
      <c r="G166">
        <v>1183</v>
      </c>
      <c r="H166">
        <v>4732</v>
      </c>
      <c r="I166">
        <v>1166</v>
      </c>
      <c r="J166" t="s">
        <v>32</v>
      </c>
    </row>
    <row r="167" spans="1:10" x14ac:dyDescent="0.35">
      <c r="A167" t="s">
        <v>235</v>
      </c>
      <c r="B167" s="1">
        <v>45239</v>
      </c>
      <c r="C167" t="s">
        <v>10</v>
      </c>
      <c r="D167" t="s">
        <v>20</v>
      </c>
      <c r="E167" t="s">
        <v>55</v>
      </c>
      <c r="F167">
        <v>9</v>
      </c>
      <c r="G167">
        <v>2948</v>
      </c>
      <c r="H167">
        <v>26532</v>
      </c>
      <c r="I167">
        <v>7754</v>
      </c>
      <c r="J167" t="s">
        <v>13</v>
      </c>
    </row>
    <row r="168" spans="1:10" x14ac:dyDescent="0.35">
      <c r="A168" t="s">
        <v>236</v>
      </c>
      <c r="B168" s="1">
        <v>45215</v>
      </c>
      <c r="C168" t="s">
        <v>10</v>
      </c>
      <c r="D168" t="s">
        <v>11</v>
      </c>
      <c r="E168" t="s">
        <v>64</v>
      </c>
      <c r="F168">
        <v>8</v>
      </c>
      <c r="G168">
        <v>1268</v>
      </c>
      <c r="H168">
        <v>10144</v>
      </c>
      <c r="I168">
        <v>3897</v>
      </c>
      <c r="J168" t="s">
        <v>32</v>
      </c>
    </row>
    <row r="169" spans="1:10" x14ac:dyDescent="0.35">
      <c r="A169" t="s">
        <v>237</v>
      </c>
      <c r="B169" s="1">
        <v>44965</v>
      </c>
      <c r="C169" t="s">
        <v>19</v>
      </c>
      <c r="D169" t="s">
        <v>11</v>
      </c>
      <c r="E169" t="s">
        <v>62</v>
      </c>
      <c r="F169">
        <v>4</v>
      </c>
      <c r="G169">
        <v>1996</v>
      </c>
      <c r="H169">
        <v>7984</v>
      </c>
      <c r="I169">
        <v>2697</v>
      </c>
      <c r="J169" t="s">
        <v>32</v>
      </c>
    </row>
    <row r="170" spans="1:10" x14ac:dyDescent="0.35">
      <c r="A170" t="s">
        <v>238</v>
      </c>
      <c r="B170" s="1">
        <v>45166</v>
      </c>
      <c r="C170" t="s">
        <v>10</v>
      </c>
      <c r="D170" t="s">
        <v>15</v>
      </c>
      <c r="E170" t="s">
        <v>118</v>
      </c>
      <c r="F170">
        <v>8</v>
      </c>
      <c r="G170">
        <v>566</v>
      </c>
      <c r="H170">
        <v>4528</v>
      </c>
      <c r="I170">
        <v>1312</v>
      </c>
      <c r="J170" t="s">
        <v>32</v>
      </c>
    </row>
    <row r="171" spans="1:10" x14ac:dyDescent="0.35">
      <c r="A171" t="s">
        <v>239</v>
      </c>
      <c r="B171" s="1">
        <v>45009</v>
      </c>
      <c r="C171" t="s">
        <v>24</v>
      </c>
      <c r="D171" t="s">
        <v>15</v>
      </c>
      <c r="E171" t="s">
        <v>26</v>
      </c>
      <c r="F171">
        <v>8</v>
      </c>
      <c r="G171">
        <v>1386</v>
      </c>
      <c r="H171">
        <v>11088</v>
      </c>
      <c r="I171">
        <v>3520</v>
      </c>
      <c r="J171" t="s">
        <v>22</v>
      </c>
    </row>
    <row r="172" spans="1:10" x14ac:dyDescent="0.35">
      <c r="A172" t="s">
        <v>240</v>
      </c>
      <c r="B172" s="1">
        <v>45240</v>
      </c>
      <c r="C172" t="s">
        <v>10</v>
      </c>
      <c r="D172" t="s">
        <v>25</v>
      </c>
      <c r="E172" t="s">
        <v>74</v>
      </c>
      <c r="F172">
        <v>4</v>
      </c>
      <c r="G172">
        <v>1616</v>
      </c>
      <c r="H172">
        <v>6464</v>
      </c>
      <c r="I172">
        <v>2074</v>
      </c>
      <c r="J172" t="s">
        <v>22</v>
      </c>
    </row>
    <row r="173" spans="1:10" x14ac:dyDescent="0.35">
      <c r="A173" t="s">
        <v>241</v>
      </c>
      <c r="B173" s="1">
        <v>45187</v>
      </c>
      <c r="C173" t="s">
        <v>10</v>
      </c>
      <c r="D173" t="s">
        <v>15</v>
      </c>
      <c r="E173" t="s">
        <v>113</v>
      </c>
      <c r="F173">
        <v>2</v>
      </c>
      <c r="G173">
        <v>2137</v>
      </c>
      <c r="H173">
        <v>4274</v>
      </c>
      <c r="I173">
        <v>649</v>
      </c>
      <c r="J173" t="s">
        <v>17</v>
      </c>
    </row>
    <row r="174" spans="1:10" x14ac:dyDescent="0.35">
      <c r="A174" t="s">
        <v>242</v>
      </c>
      <c r="B174" s="1">
        <v>45105</v>
      </c>
      <c r="C174" t="s">
        <v>24</v>
      </c>
      <c r="D174" t="s">
        <v>11</v>
      </c>
      <c r="E174" t="s">
        <v>55</v>
      </c>
      <c r="F174">
        <v>2</v>
      </c>
      <c r="G174">
        <v>2532</v>
      </c>
      <c r="H174">
        <v>5064</v>
      </c>
      <c r="I174">
        <v>1888</v>
      </c>
      <c r="J174" t="s">
        <v>22</v>
      </c>
    </row>
    <row r="175" spans="1:10" x14ac:dyDescent="0.35">
      <c r="A175" t="s">
        <v>243</v>
      </c>
      <c r="B175" s="1">
        <v>44970</v>
      </c>
      <c r="C175" t="s">
        <v>30</v>
      </c>
      <c r="D175" t="s">
        <v>40</v>
      </c>
      <c r="E175" t="s">
        <v>173</v>
      </c>
      <c r="F175">
        <v>6</v>
      </c>
      <c r="G175">
        <v>2856</v>
      </c>
      <c r="H175">
        <v>17136</v>
      </c>
      <c r="I175">
        <v>5656</v>
      </c>
      <c r="J175" t="s">
        <v>17</v>
      </c>
    </row>
    <row r="176" spans="1:10" x14ac:dyDescent="0.35">
      <c r="A176" t="s">
        <v>244</v>
      </c>
      <c r="B176" s="1">
        <v>45272</v>
      </c>
      <c r="C176" t="s">
        <v>30</v>
      </c>
      <c r="D176" t="s">
        <v>20</v>
      </c>
      <c r="E176" t="s">
        <v>12</v>
      </c>
      <c r="F176">
        <v>3</v>
      </c>
      <c r="G176">
        <v>1590</v>
      </c>
      <c r="H176">
        <v>4770</v>
      </c>
      <c r="I176">
        <v>1141</v>
      </c>
      <c r="J176" t="s">
        <v>17</v>
      </c>
    </row>
    <row r="177" spans="1:10" x14ac:dyDescent="0.35">
      <c r="A177" t="s">
        <v>245</v>
      </c>
      <c r="B177" s="1">
        <v>44953</v>
      </c>
      <c r="C177" t="s">
        <v>24</v>
      </c>
      <c r="D177" t="s">
        <v>11</v>
      </c>
      <c r="E177" t="s">
        <v>89</v>
      </c>
      <c r="F177">
        <v>6</v>
      </c>
      <c r="G177">
        <v>720</v>
      </c>
      <c r="H177">
        <v>4320</v>
      </c>
      <c r="I177">
        <v>746</v>
      </c>
      <c r="J177" t="s">
        <v>13</v>
      </c>
    </row>
    <row r="178" spans="1:10" x14ac:dyDescent="0.35">
      <c r="A178" t="s">
        <v>246</v>
      </c>
      <c r="B178" s="1">
        <v>45236</v>
      </c>
      <c r="C178" t="s">
        <v>19</v>
      </c>
      <c r="D178" t="s">
        <v>20</v>
      </c>
      <c r="E178" t="s">
        <v>31</v>
      </c>
      <c r="F178">
        <v>4</v>
      </c>
      <c r="G178">
        <v>4089</v>
      </c>
      <c r="H178">
        <v>16356</v>
      </c>
      <c r="I178">
        <v>6140</v>
      </c>
      <c r="J178" t="s">
        <v>17</v>
      </c>
    </row>
    <row r="179" spans="1:10" x14ac:dyDescent="0.35">
      <c r="A179" t="s">
        <v>247</v>
      </c>
      <c r="B179" s="1">
        <v>45127</v>
      </c>
      <c r="C179" t="s">
        <v>24</v>
      </c>
      <c r="D179" t="s">
        <v>15</v>
      </c>
      <c r="E179" t="s">
        <v>92</v>
      </c>
      <c r="F179">
        <v>1</v>
      </c>
      <c r="G179">
        <v>2840</v>
      </c>
      <c r="H179">
        <v>2840</v>
      </c>
      <c r="I179">
        <v>613</v>
      </c>
      <c r="J179" t="s">
        <v>32</v>
      </c>
    </row>
    <row r="180" spans="1:10" x14ac:dyDescent="0.35">
      <c r="A180" t="s">
        <v>248</v>
      </c>
      <c r="B180" s="1">
        <v>44972</v>
      </c>
      <c r="C180" t="s">
        <v>30</v>
      </c>
      <c r="D180" t="s">
        <v>40</v>
      </c>
      <c r="E180" t="s">
        <v>60</v>
      </c>
      <c r="F180">
        <v>3</v>
      </c>
      <c r="G180">
        <v>4045</v>
      </c>
      <c r="H180">
        <v>12135</v>
      </c>
      <c r="I180">
        <v>2219</v>
      </c>
      <c r="J180" t="s">
        <v>13</v>
      </c>
    </row>
    <row r="181" spans="1:10" x14ac:dyDescent="0.35">
      <c r="A181" t="s">
        <v>249</v>
      </c>
      <c r="B181" s="1">
        <v>45107</v>
      </c>
      <c r="C181" t="s">
        <v>19</v>
      </c>
      <c r="D181" t="s">
        <v>15</v>
      </c>
      <c r="E181" t="s">
        <v>41</v>
      </c>
      <c r="F181">
        <v>9</v>
      </c>
      <c r="G181">
        <v>2443</v>
      </c>
      <c r="H181">
        <v>21987</v>
      </c>
      <c r="I181">
        <v>8501</v>
      </c>
      <c r="J181" t="s">
        <v>22</v>
      </c>
    </row>
    <row r="182" spans="1:10" x14ac:dyDescent="0.35">
      <c r="A182" t="s">
        <v>250</v>
      </c>
      <c r="B182" s="1">
        <v>44983</v>
      </c>
      <c r="C182" t="s">
        <v>30</v>
      </c>
      <c r="D182" t="s">
        <v>20</v>
      </c>
      <c r="E182" t="s">
        <v>102</v>
      </c>
      <c r="F182">
        <v>7</v>
      </c>
      <c r="G182">
        <v>901</v>
      </c>
      <c r="H182">
        <v>6307</v>
      </c>
      <c r="I182">
        <v>2455</v>
      </c>
      <c r="J182" t="s">
        <v>22</v>
      </c>
    </row>
    <row r="183" spans="1:10" x14ac:dyDescent="0.35">
      <c r="A183" t="s">
        <v>251</v>
      </c>
      <c r="B183" s="1">
        <v>44944</v>
      </c>
      <c r="C183" t="s">
        <v>24</v>
      </c>
      <c r="D183" t="s">
        <v>20</v>
      </c>
      <c r="E183" t="s">
        <v>48</v>
      </c>
      <c r="F183">
        <v>10</v>
      </c>
      <c r="G183">
        <v>2981</v>
      </c>
      <c r="H183">
        <v>29810</v>
      </c>
      <c r="I183">
        <v>9796</v>
      </c>
      <c r="J183" t="s">
        <v>32</v>
      </c>
    </row>
    <row r="184" spans="1:10" x14ac:dyDescent="0.35">
      <c r="A184" t="s">
        <v>252</v>
      </c>
      <c r="B184" s="1">
        <v>45244</v>
      </c>
      <c r="C184" t="s">
        <v>30</v>
      </c>
      <c r="D184" t="s">
        <v>20</v>
      </c>
      <c r="E184" t="s">
        <v>62</v>
      </c>
      <c r="F184">
        <v>4</v>
      </c>
      <c r="G184">
        <v>3782</v>
      </c>
      <c r="H184">
        <v>15128</v>
      </c>
      <c r="I184">
        <v>4695</v>
      </c>
      <c r="J184" t="s">
        <v>17</v>
      </c>
    </row>
    <row r="185" spans="1:10" x14ac:dyDescent="0.35">
      <c r="A185" t="s">
        <v>253</v>
      </c>
      <c r="B185" s="1">
        <v>44929</v>
      </c>
      <c r="C185" t="s">
        <v>10</v>
      </c>
      <c r="D185" t="s">
        <v>11</v>
      </c>
      <c r="E185" t="s">
        <v>60</v>
      </c>
      <c r="F185">
        <v>6</v>
      </c>
      <c r="G185">
        <v>3512</v>
      </c>
      <c r="H185">
        <v>21072</v>
      </c>
      <c r="I185">
        <v>4488</v>
      </c>
      <c r="J185" t="s">
        <v>17</v>
      </c>
    </row>
    <row r="186" spans="1:10" x14ac:dyDescent="0.35">
      <c r="A186" t="s">
        <v>254</v>
      </c>
      <c r="B186" s="1">
        <v>45045</v>
      </c>
      <c r="C186" t="s">
        <v>30</v>
      </c>
      <c r="D186" t="s">
        <v>25</v>
      </c>
      <c r="E186" t="s">
        <v>53</v>
      </c>
      <c r="F186">
        <v>10</v>
      </c>
      <c r="G186">
        <v>585</v>
      </c>
      <c r="H186">
        <v>5850</v>
      </c>
      <c r="I186">
        <v>2206</v>
      </c>
      <c r="J186" t="s">
        <v>13</v>
      </c>
    </row>
    <row r="187" spans="1:10" x14ac:dyDescent="0.35">
      <c r="A187" t="s">
        <v>255</v>
      </c>
      <c r="B187" s="1">
        <v>45151</v>
      </c>
      <c r="C187" t="s">
        <v>19</v>
      </c>
      <c r="D187" t="s">
        <v>40</v>
      </c>
      <c r="E187" t="s">
        <v>68</v>
      </c>
      <c r="F187">
        <v>2</v>
      </c>
      <c r="G187">
        <v>875</v>
      </c>
      <c r="H187">
        <v>1750</v>
      </c>
      <c r="I187">
        <v>571</v>
      </c>
      <c r="J187" t="s">
        <v>22</v>
      </c>
    </row>
    <row r="188" spans="1:10" x14ac:dyDescent="0.35">
      <c r="A188" t="s">
        <v>256</v>
      </c>
      <c r="B188" s="1">
        <v>44972</v>
      </c>
      <c r="C188" t="s">
        <v>19</v>
      </c>
      <c r="D188" t="s">
        <v>40</v>
      </c>
      <c r="E188" t="s">
        <v>43</v>
      </c>
      <c r="F188">
        <v>3</v>
      </c>
      <c r="G188">
        <v>4782</v>
      </c>
      <c r="H188">
        <v>14346</v>
      </c>
      <c r="I188">
        <v>5024</v>
      </c>
      <c r="J188" t="s">
        <v>17</v>
      </c>
    </row>
    <row r="189" spans="1:10" x14ac:dyDescent="0.35">
      <c r="A189" t="s">
        <v>257</v>
      </c>
      <c r="B189" s="1">
        <v>45089</v>
      </c>
      <c r="C189" t="s">
        <v>19</v>
      </c>
      <c r="D189" t="s">
        <v>25</v>
      </c>
      <c r="E189" t="s">
        <v>46</v>
      </c>
      <c r="F189">
        <v>4</v>
      </c>
      <c r="G189">
        <v>3113</v>
      </c>
      <c r="H189">
        <v>12452</v>
      </c>
      <c r="I189">
        <v>3350</v>
      </c>
      <c r="J189" t="s">
        <v>32</v>
      </c>
    </row>
    <row r="190" spans="1:10" x14ac:dyDescent="0.35">
      <c r="A190" t="s">
        <v>258</v>
      </c>
      <c r="B190" s="1">
        <v>45292</v>
      </c>
      <c r="C190" t="s">
        <v>30</v>
      </c>
      <c r="D190" t="s">
        <v>25</v>
      </c>
      <c r="E190" t="s">
        <v>179</v>
      </c>
      <c r="F190">
        <v>7</v>
      </c>
      <c r="G190">
        <v>2524</v>
      </c>
      <c r="H190">
        <v>17668</v>
      </c>
      <c r="I190">
        <v>4640</v>
      </c>
      <c r="J190" t="s">
        <v>17</v>
      </c>
    </row>
    <row r="191" spans="1:10" x14ac:dyDescent="0.35">
      <c r="A191" t="s">
        <v>259</v>
      </c>
      <c r="B191" s="1">
        <v>45010</v>
      </c>
      <c r="C191" t="s">
        <v>10</v>
      </c>
      <c r="D191" t="s">
        <v>15</v>
      </c>
      <c r="E191" t="s">
        <v>179</v>
      </c>
      <c r="F191">
        <v>1</v>
      </c>
      <c r="G191">
        <v>3701</v>
      </c>
      <c r="H191">
        <v>3701</v>
      </c>
      <c r="I191">
        <v>1106</v>
      </c>
      <c r="J191" t="s">
        <v>32</v>
      </c>
    </row>
    <row r="192" spans="1:10" x14ac:dyDescent="0.35">
      <c r="A192" t="s">
        <v>260</v>
      </c>
      <c r="B192" s="1">
        <v>45215</v>
      </c>
      <c r="C192" t="s">
        <v>19</v>
      </c>
      <c r="D192" t="s">
        <v>40</v>
      </c>
      <c r="E192" t="s">
        <v>60</v>
      </c>
      <c r="F192">
        <v>3</v>
      </c>
      <c r="G192">
        <v>4286</v>
      </c>
      <c r="H192">
        <v>12858</v>
      </c>
      <c r="I192">
        <v>3172</v>
      </c>
      <c r="J192" t="s">
        <v>32</v>
      </c>
    </row>
    <row r="193" spans="1:10" x14ac:dyDescent="0.35">
      <c r="A193" t="s">
        <v>261</v>
      </c>
      <c r="B193" s="1">
        <v>45143</v>
      </c>
      <c r="C193" t="s">
        <v>30</v>
      </c>
      <c r="D193" t="s">
        <v>11</v>
      </c>
      <c r="E193" t="s">
        <v>78</v>
      </c>
      <c r="F193">
        <v>8</v>
      </c>
      <c r="G193">
        <v>1503</v>
      </c>
      <c r="H193">
        <v>12024</v>
      </c>
      <c r="I193">
        <v>2766</v>
      </c>
      <c r="J193" t="s">
        <v>32</v>
      </c>
    </row>
    <row r="194" spans="1:10" x14ac:dyDescent="0.35">
      <c r="A194" t="s">
        <v>262</v>
      </c>
      <c r="B194" s="1">
        <v>44982</v>
      </c>
      <c r="C194" t="s">
        <v>10</v>
      </c>
      <c r="D194" t="s">
        <v>25</v>
      </c>
      <c r="E194" t="s">
        <v>173</v>
      </c>
      <c r="F194">
        <v>10</v>
      </c>
      <c r="G194">
        <v>2438</v>
      </c>
      <c r="H194">
        <v>24380</v>
      </c>
      <c r="I194">
        <v>7398</v>
      </c>
      <c r="J194" t="s">
        <v>17</v>
      </c>
    </row>
    <row r="195" spans="1:10" x14ac:dyDescent="0.35">
      <c r="A195" t="s">
        <v>263</v>
      </c>
      <c r="B195" s="1">
        <v>45073</v>
      </c>
      <c r="C195" t="s">
        <v>19</v>
      </c>
      <c r="D195" t="s">
        <v>11</v>
      </c>
      <c r="E195" t="s">
        <v>151</v>
      </c>
      <c r="F195">
        <v>6</v>
      </c>
      <c r="G195">
        <v>1046</v>
      </c>
      <c r="H195">
        <v>6276</v>
      </c>
      <c r="I195">
        <v>985</v>
      </c>
      <c r="J195" t="s">
        <v>17</v>
      </c>
    </row>
    <row r="196" spans="1:10" x14ac:dyDescent="0.35">
      <c r="A196" t="s">
        <v>264</v>
      </c>
      <c r="B196" s="1">
        <v>45276</v>
      </c>
      <c r="C196" t="s">
        <v>24</v>
      </c>
      <c r="D196" t="s">
        <v>40</v>
      </c>
      <c r="E196" t="s">
        <v>62</v>
      </c>
      <c r="F196">
        <v>7</v>
      </c>
      <c r="G196">
        <v>2177</v>
      </c>
      <c r="H196">
        <v>15239</v>
      </c>
      <c r="I196">
        <v>5651</v>
      </c>
      <c r="J196" t="s">
        <v>22</v>
      </c>
    </row>
    <row r="197" spans="1:10" x14ac:dyDescent="0.35">
      <c r="A197" t="s">
        <v>265</v>
      </c>
      <c r="B197" s="1">
        <v>45185</v>
      </c>
      <c r="C197" t="s">
        <v>24</v>
      </c>
      <c r="D197" t="s">
        <v>25</v>
      </c>
      <c r="E197" t="s">
        <v>41</v>
      </c>
      <c r="F197">
        <v>4</v>
      </c>
      <c r="G197">
        <v>1680</v>
      </c>
      <c r="H197">
        <v>6720</v>
      </c>
      <c r="I197">
        <v>1448</v>
      </c>
      <c r="J197" t="s">
        <v>22</v>
      </c>
    </row>
    <row r="198" spans="1:10" x14ac:dyDescent="0.35">
      <c r="A198" t="s">
        <v>266</v>
      </c>
      <c r="B198" s="1">
        <v>44948</v>
      </c>
      <c r="C198" t="s">
        <v>19</v>
      </c>
      <c r="D198" t="s">
        <v>11</v>
      </c>
      <c r="E198" t="s">
        <v>28</v>
      </c>
      <c r="F198">
        <v>1</v>
      </c>
      <c r="G198">
        <v>702</v>
      </c>
      <c r="H198">
        <v>702</v>
      </c>
      <c r="I198">
        <v>170</v>
      </c>
      <c r="J198" t="s">
        <v>22</v>
      </c>
    </row>
    <row r="199" spans="1:10" x14ac:dyDescent="0.35">
      <c r="A199" t="s">
        <v>267</v>
      </c>
      <c r="B199" s="1">
        <v>45102</v>
      </c>
      <c r="C199" t="s">
        <v>19</v>
      </c>
      <c r="D199" t="s">
        <v>20</v>
      </c>
      <c r="E199" t="s">
        <v>62</v>
      </c>
      <c r="F199">
        <v>2</v>
      </c>
      <c r="G199">
        <v>2828</v>
      </c>
      <c r="H199">
        <v>5656</v>
      </c>
      <c r="I199">
        <v>1675</v>
      </c>
      <c r="J199" t="s">
        <v>13</v>
      </c>
    </row>
    <row r="200" spans="1:10" x14ac:dyDescent="0.35">
      <c r="A200" t="s">
        <v>268</v>
      </c>
      <c r="B200" s="1">
        <v>45235</v>
      </c>
      <c r="C200" t="s">
        <v>10</v>
      </c>
      <c r="D200" t="s">
        <v>11</v>
      </c>
      <c r="E200" t="s">
        <v>62</v>
      </c>
      <c r="F200">
        <v>9</v>
      </c>
      <c r="G200">
        <v>2464</v>
      </c>
      <c r="H200">
        <v>22176</v>
      </c>
      <c r="I200">
        <v>3310</v>
      </c>
      <c r="J200" t="s">
        <v>22</v>
      </c>
    </row>
    <row r="201" spans="1:10" x14ac:dyDescent="0.35">
      <c r="A201" t="s">
        <v>269</v>
      </c>
      <c r="B201" s="1">
        <v>45253</v>
      </c>
      <c r="C201" t="s">
        <v>30</v>
      </c>
      <c r="D201" t="s">
        <v>40</v>
      </c>
      <c r="E201" t="s">
        <v>74</v>
      </c>
      <c r="F201">
        <v>2</v>
      </c>
      <c r="G201">
        <v>4555</v>
      </c>
      <c r="H201">
        <v>9110</v>
      </c>
      <c r="I201">
        <v>2379</v>
      </c>
      <c r="J201" t="s">
        <v>17</v>
      </c>
    </row>
    <row r="202" spans="1:10" x14ac:dyDescent="0.35">
      <c r="A202" t="s">
        <v>270</v>
      </c>
      <c r="B202" s="1">
        <v>45264</v>
      </c>
      <c r="C202" t="s">
        <v>24</v>
      </c>
      <c r="D202" t="s">
        <v>25</v>
      </c>
      <c r="E202" t="s">
        <v>87</v>
      </c>
      <c r="F202">
        <v>1</v>
      </c>
      <c r="G202">
        <v>2432</v>
      </c>
      <c r="H202">
        <v>2432</v>
      </c>
      <c r="I202">
        <v>281</v>
      </c>
      <c r="J202" t="s">
        <v>22</v>
      </c>
    </row>
    <row r="203" spans="1:10" x14ac:dyDescent="0.35">
      <c r="A203" t="s">
        <v>271</v>
      </c>
      <c r="B203" s="1">
        <v>45084</v>
      </c>
      <c r="C203" t="s">
        <v>30</v>
      </c>
      <c r="D203" t="s">
        <v>20</v>
      </c>
      <c r="E203" t="s">
        <v>48</v>
      </c>
      <c r="F203">
        <v>5</v>
      </c>
      <c r="G203">
        <v>3032</v>
      </c>
      <c r="H203">
        <v>15160</v>
      </c>
      <c r="I203">
        <v>4750</v>
      </c>
      <c r="J203" t="s">
        <v>32</v>
      </c>
    </row>
    <row r="204" spans="1:10" x14ac:dyDescent="0.35">
      <c r="A204" t="s">
        <v>272</v>
      </c>
      <c r="B204" s="1">
        <v>44991</v>
      </c>
      <c r="C204" t="s">
        <v>30</v>
      </c>
      <c r="D204" t="s">
        <v>20</v>
      </c>
      <c r="E204" t="s">
        <v>74</v>
      </c>
      <c r="F204">
        <v>6</v>
      </c>
      <c r="G204">
        <v>2281</v>
      </c>
      <c r="H204">
        <v>13686</v>
      </c>
      <c r="I204">
        <v>1382</v>
      </c>
      <c r="J204" t="s">
        <v>17</v>
      </c>
    </row>
    <row r="205" spans="1:10" x14ac:dyDescent="0.35">
      <c r="A205" t="s">
        <v>273</v>
      </c>
      <c r="B205" s="1">
        <v>45046</v>
      </c>
      <c r="C205" t="s">
        <v>24</v>
      </c>
      <c r="D205" t="s">
        <v>25</v>
      </c>
      <c r="E205" t="s">
        <v>26</v>
      </c>
      <c r="F205">
        <v>2</v>
      </c>
      <c r="G205">
        <v>3016</v>
      </c>
      <c r="H205">
        <v>6032</v>
      </c>
      <c r="I205">
        <v>2222</v>
      </c>
      <c r="J205" t="s">
        <v>13</v>
      </c>
    </row>
    <row r="206" spans="1:10" x14ac:dyDescent="0.35">
      <c r="A206" t="s">
        <v>274</v>
      </c>
      <c r="B206" s="1">
        <v>45218</v>
      </c>
      <c r="C206" t="s">
        <v>10</v>
      </c>
      <c r="D206" t="s">
        <v>20</v>
      </c>
      <c r="E206" t="s">
        <v>87</v>
      </c>
      <c r="F206">
        <v>9</v>
      </c>
      <c r="G206">
        <v>3835</v>
      </c>
      <c r="H206">
        <v>34515</v>
      </c>
      <c r="I206">
        <v>5478</v>
      </c>
      <c r="J206" t="s">
        <v>17</v>
      </c>
    </row>
    <row r="207" spans="1:10" x14ac:dyDescent="0.35">
      <c r="A207" t="s">
        <v>275</v>
      </c>
      <c r="B207" s="1">
        <v>45198</v>
      </c>
      <c r="C207" t="s">
        <v>19</v>
      </c>
      <c r="D207" t="s">
        <v>15</v>
      </c>
      <c r="E207" t="s">
        <v>123</v>
      </c>
      <c r="F207">
        <v>9</v>
      </c>
      <c r="G207">
        <v>2340</v>
      </c>
      <c r="H207">
        <v>21060</v>
      </c>
      <c r="I207">
        <v>3507</v>
      </c>
      <c r="J207" t="s">
        <v>13</v>
      </c>
    </row>
    <row r="208" spans="1:10" x14ac:dyDescent="0.35">
      <c r="A208" t="s">
        <v>276</v>
      </c>
      <c r="B208" s="1">
        <v>45036</v>
      </c>
      <c r="C208" t="s">
        <v>19</v>
      </c>
      <c r="D208" t="s">
        <v>11</v>
      </c>
      <c r="E208" t="s">
        <v>51</v>
      </c>
      <c r="F208">
        <v>7</v>
      </c>
      <c r="G208">
        <v>2991</v>
      </c>
      <c r="H208">
        <v>20937</v>
      </c>
      <c r="I208">
        <v>7507</v>
      </c>
      <c r="J208" t="s">
        <v>13</v>
      </c>
    </row>
    <row r="209" spans="1:10" x14ac:dyDescent="0.35">
      <c r="A209" t="s">
        <v>277</v>
      </c>
      <c r="B209" s="1">
        <v>45266</v>
      </c>
      <c r="C209" t="s">
        <v>19</v>
      </c>
      <c r="D209" t="s">
        <v>25</v>
      </c>
      <c r="E209" t="s">
        <v>211</v>
      </c>
      <c r="F209">
        <v>8</v>
      </c>
      <c r="G209">
        <v>1777</v>
      </c>
      <c r="H209">
        <v>14216</v>
      </c>
      <c r="I209">
        <v>3587</v>
      </c>
      <c r="J209" t="s">
        <v>13</v>
      </c>
    </row>
    <row r="210" spans="1:10" x14ac:dyDescent="0.35">
      <c r="A210" t="s">
        <v>278</v>
      </c>
      <c r="B210" s="1">
        <v>44945</v>
      </c>
      <c r="C210" t="s">
        <v>24</v>
      </c>
      <c r="D210" t="s">
        <v>20</v>
      </c>
      <c r="E210" t="s">
        <v>87</v>
      </c>
      <c r="F210">
        <v>3</v>
      </c>
      <c r="G210">
        <v>3021</v>
      </c>
      <c r="H210">
        <v>9063</v>
      </c>
      <c r="I210">
        <v>2800</v>
      </c>
      <c r="J210" t="s">
        <v>17</v>
      </c>
    </row>
    <row r="211" spans="1:10" x14ac:dyDescent="0.35">
      <c r="A211" t="s">
        <v>279</v>
      </c>
      <c r="B211" s="1">
        <v>45218</v>
      </c>
      <c r="C211" t="s">
        <v>24</v>
      </c>
      <c r="D211" t="s">
        <v>11</v>
      </c>
      <c r="E211" t="s">
        <v>137</v>
      </c>
      <c r="F211">
        <v>4</v>
      </c>
      <c r="G211">
        <v>3389</v>
      </c>
      <c r="H211">
        <v>13556</v>
      </c>
      <c r="I211">
        <v>1455</v>
      </c>
      <c r="J211" t="s">
        <v>32</v>
      </c>
    </row>
    <row r="212" spans="1:10" x14ac:dyDescent="0.35">
      <c r="A212" t="s">
        <v>280</v>
      </c>
      <c r="B212" s="1">
        <v>45028</v>
      </c>
      <c r="C212" t="s">
        <v>19</v>
      </c>
      <c r="D212" t="s">
        <v>15</v>
      </c>
      <c r="E212" t="s">
        <v>41</v>
      </c>
      <c r="F212">
        <v>8</v>
      </c>
      <c r="G212">
        <v>2554</v>
      </c>
      <c r="H212">
        <v>20432</v>
      </c>
      <c r="I212">
        <v>7107</v>
      </c>
      <c r="J212" t="s">
        <v>13</v>
      </c>
    </row>
    <row r="213" spans="1:10" x14ac:dyDescent="0.35">
      <c r="A213" t="s">
        <v>281</v>
      </c>
      <c r="B213" s="1">
        <v>45047</v>
      </c>
      <c r="C213" t="s">
        <v>19</v>
      </c>
      <c r="D213" t="s">
        <v>11</v>
      </c>
      <c r="E213" t="s">
        <v>78</v>
      </c>
      <c r="F213">
        <v>9</v>
      </c>
      <c r="G213">
        <v>3635</v>
      </c>
      <c r="H213">
        <v>32715</v>
      </c>
      <c r="I213">
        <v>12365</v>
      </c>
      <c r="J213" t="s">
        <v>32</v>
      </c>
    </row>
    <row r="214" spans="1:10" x14ac:dyDescent="0.35">
      <c r="A214" t="s">
        <v>282</v>
      </c>
      <c r="B214" s="1">
        <v>45280</v>
      </c>
      <c r="C214" t="s">
        <v>10</v>
      </c>
      <c r="D214" t="s">
        <v>20</v>
      </c>
      <c r="E214" t="s">
        <v>26</v>
      </c>
      <c r="F214">
        <v>6</v>
      </c>
      <c r="G214">
        <v>1620</v>
      </c>
      <c r="H214">
        <v>9720</v>
      </c>
      <c r="I214">
        <v>3697</v>
      </c>
      <c r="J214" t="s">
        <v>22</v>
      </c>
    </row>
    <row r="215" spans="1:10" x14ac:dyDescent="0.35">
      <c r="A215" t="s">
        <v>283</v>
      </c>
      <c r="B215" s="1">
        <v>45206</v>
      </c>
      <c r="C215" t="s">
        <v>10</v>
      </c>
      <c r="D215" t="s">
        <v>40</v>
      </c>
      <c r="E215" t="s">
        <v>100</v>
      </c>
      <c r="F215">
        <v>9</v>
      </c>
      <c r="G215">
        <v>3488</v>
      </c>
      <c r="H215">
        <v>31392</v>
      </c>
      <c r="I215">
        <v>8850</v>
      </c>
      <c r="J215" t="s">
        <v>32</v>
      </c>
    </row>
    <row r="216" spans="1:10" x14ac:dyDescent="0.35">
      <c r="A216" t="s">
        <v>284</v>
      </c>
      <c r="B216" s="1">
        <v>45243</v>
      </c>
      <c r="C216" t="s">
        <v>30</v>
      </c>
      <c r="D216" t="s">
        <v>15</v>
      </c>
      <c r="E216" t="s">
        <v>111</v>
      </c>
      <c r="F216">
        <v>2</v>
      </c>
      <c r="G216">
        <v>754</v>
      </c>
      <c r="H216">
        <v>1508</v>
      </c>
      <c r="I216">
        <v>183</v>
      </c>
      <c r="J216" t="s">
        <v>13</v>
      </c>
    </row>
    <row r="217" spans="1:10" x14ac:dyDescent="0.35">
      <c r="A217" t="s">
        <v>285</v>
      </c>
      <c r="B217" s="1">
        <v>45284</v>
      </c>
      <c r="C217" t="s">
        <v>19</v>
      </c>
      <c r="D217" t="s">
        <v>25</v>
      </c>
      <c r="E217" t="s">
        <v>26</v>
      </c>
      <c r="F217">
        <v>8</v>
      </c>
      <c r="G217">
        <v>549</v>
      </c>
      <c r="H217">
        <v>4392</v>
      </c>
      <c r="I217">
        <v>574</v>
      </c>
      <c r="J217" t="s">
        <v>22</v>
      </c>
    </row>
    <row r="218" spans="1:10" x14ac:dyDescent="0.35">
      <c r="A218" t="s">
        <v>286</v>
      </c>
      <c r="B218" s="1">
        <v>45220</v>
      </c>
      <c r="C218" t="s">
        <v>10</v>
      </c>
      <c r="D218" t="s">
        <v>15</v>
      </c>
      <c r="E218" t="s">
        <v>58</v>
      </c>
      <c r="F218">
        <v>7</v>
      </c>
      <c r="G218">
        <v>3284</v>
      </c>
      <c r="H218">
        <v>22988</v>
      </c>
      <c r="I218">
        <v>6781</v>
      </c>
      <c r="J218" t="s">
        <v>22</v>
      </c>
    </row>
    <row r="219" spans="1:10" x14ac:dyDescent="0.35">
      <c r="A219" t="s">
        <v>287</v>
      </c>
      <c r="B219" s="1">
        <v>45131</v>
      </c>
      <c r="C219" t="s">
        <v>10</v>
      </c>
      <c r="D219" t="s">
        <v>25</v>
      </c>
      <c r="E219" t="s">
        <v>74</v>
      </c>
      <c r="F219">
        <v>6</v>
      </c>
      <c r="G219">
        <v>3274</v>
      </c>
      <c r="H219">
        <v>19644</v>
      </c>
      <c r="I219">
        <v>3438</v>
      </c>
      <c r="J219" t="s">
        <v>32</v>
      </c>
    </row>
    <row r="220" spans="1:10" x14ac:dyDescent="0.35">
      <c r="A220" t="s">
        <v>288</v>
      </c>
      <c r="B220" s="1">
        <v>45275</v>
      </c>
      <c r="C220" t="s">
        <v>24</v>
      </c>
      <c r="D220" t="s">
        <v>15</v>
      </c>
      <c r="E220" t="s">
        <v>46</v>
      </c>
      <c r="F220">
        <v>4</v>
      </c>
      <c r="G220">
        <v>3769</v>
      </c>
      <c r="H220">
        <v>15076</v>
      </c>
      <c r="I220">
        <v>5822</v>
      </c>
      <c r="J220" t="s">
        <v>17</v>
      </c>
    </row>
    <row r="221" spans="1:10" x14ac:dyDescent="0.35">
      <c r="A221" t="s">
        <v>289</v>
      </c>
      <c r="B221" s="1">
        <v>45244</v>
      </c>
      <c r="C221" t="s">
        <v>10</v>
      </c>
      <c r="D221" t="s">
        <v>15</v>
      </c>
      <c r="E221" t="s">
        <v>16</v>
      </c>
      <c r="F221">
        <v>1</v>
      </c>
      <c r="G221">
        <v>1578</v>
      </c>
      <c r="H221">
        <v>1578</v>
      </c>
      <c r="I221">
        <v>603</v>
      </c>
      <c r="J221" t="s">
        <v>13</v>
      </c>
    </row>
    <row r="222" spans="1:10" x14ac:dyDescent="0.35">
      <c r="A222" t="s">
        <v>290</v>
      </c>
      <c r="B222" s="1">
        <v>45209</v>
      </c>
      <c r="C222" t="s">
        <v>30</v>
      </c>
      <c r="D222" t="s">
        <v>15</v>
      </c>
      <c r="E222" t="s">
        <v>71</v>
      </c>
      <c r="F222">
        <v>7</v>
      </c>
      <c r="G222">
        <v>2652</v>
      </c>
      <c r="H222">
        <v>18564</v>
      </c>
      <c r="I222">
        <v>6826</v>
      </c>
      <c r="J222" t="s">
        <v>13</v>
      </c>
    </row>
    <row r="223" spans="1:10" x14ac:dyDescent="0.35">
      <c r="A223" t="s">
        <v>291</v>
      </c>
      <c r="B223" s="1">
        <v>45227</v>
      </c>
      <c r="C223" t="s">
        <v>30</v>
      </c>
      <c r="D223" t="s">
        <v>40</v>
      </c>
      <c r="E223" t="s">
        <v>48</v>
      </c>
      <c r="F223">
        <v>2</v>
      </c>
      <c r="G223">
        <v>2533</v>
      </c>
      <c r="H223">
        <v>5066</v>
      </c>
      <c r="I223">
        <v>1703</v>
      </c>
      <c r="J223" t="s">
        <v>32</v>
      </c>
    </row>
    <row r="224" spans="1:10" x14ac:dyDescent="0.35">
      <c r="A224" t="s">
        <v>292</v>
      </c>
      <c r="B224" s="1">
        <v>45126</v>
      </c>
      <c r="C224" t="s">
        <v>10</v>
      </c>
      <c r="D224" t="s">
        <v>11</v>
      </c>
      <c r="E224" t="s">
        <v>149</v>
      </c>
      <c r="F224">
        <v>2</v>
      </c>
      <c r="G224">
        <v>4942</v>
      </c>
      <c r="H224">
        <v>9884</v>
      </c>
      <c r="I224">
        <v>1515</v>
      </c>
      <c r="J224" t="s">
        <v>13</v>
      </c>
    </row>
    <row r="225" spans="1:10" x14ac:dyDescent="0.35">
      <c r="A225" t="s">
        <v>293</v>
      </c>
      <c r="B225" s="1">
        <v>45231</v>
      </c>
      <c r="C225" t="s">
        <v>24</v>
      </c>
      <c r="D225" t="s">
        <v>25</v>
      </c>
      <c r="E225" t="s">
        <v>211</v>
      </c>
      <c r="F225">
        <v>8</v>
      </c>
      <c r="G225">
        <v>1627</v>
      </c>
      <c r="H225">
        <v>13016</v>
      </c>
      <c r="I225">
        <v>4128</v>
      </c>
      <c r="J225" t="s">
        <v>32</v>
      </c>
    </row>
    <row r="226" spans="1:10" x14ac:dyDescent="0.35">
      <c r="A226" t="s">
        <v>294</v>
      </c>
      <c r="B226" s="1">
        <v>45263</v>
      </c>
      <c r="C226" t="s">
        <v>24</v>
      </c>
      <c r="D226" t="s">
        <v>20</v>
      </c>
      <c r="E226" t="s">
        <v>137</v>
      </c>
      <c r="F226">
        <v>5</v>
      </c>
      <c r="G226">
        <v>2535</v>
      </c>
      <c r="H226">
        <v>12675</v>
      </c>
      <c r="I226">
        <v>1704</v>
      </c>
      <c r="J226" t="s">
        <v>22</v>
      </c>
    </row>
    <row r="227" spans="1:10" x14ac:dyDescent="0.35">
      <c r="A227" t="s">
        <v>295</v>
      </c>
      <c r="B227" s="1">
        <v>45193</v>
      </c>
      <c r="C227" t="s">
        <v>30</v>
      </c>
      <c r="D227" t="s">
        <v>20</v>
      </c>
      <c r="E227" t="s">
        <v>102</v>
      </c>
      <c r="F227">
        <v>2</v>
      </c>
      <c r="G227">
        <v>1917</v>
      </c>
      <c r="H227">
        <v>3834</v>
      </c>
      <c r="I227">
        <v>787</v>
      </c>
      <c r="J227" t="s">
        <v>17</v>
      </c>
    </row>
    <row r="228" spans="1:10" x14ac:dyDescent="0.35">
      <c r="A228" t="s">
        <v>296</v>
      </c>
      <c r="B228" s="1">
        <v>45064</v>
      </c>
      <c r="C228" t="s">
        <v>19</v>
      </c>
      <c r="D228" t="s">
        <v>20</v>
      </c>
      <c r="E228" t="s">
        <v>64</v>
      </c>
      <c r="F228">
        <v>8</v>
      </c>
      <c r="G228">
        <v>731</v>
      </c>
      <c r="H228">
        <v>5848</v>
      </c>
      <c r="I228">
        <v>1630</v>
      </c>
      <c r="J228" t="s">
        <v>13</v>
      </c>
    </row>
    <row r="229" spans="1:10" x14ac:dyDescent="0.35">
      <c r="A229" t="s">
        <v>297</v>
      </c>
      <c r="B229" s="1">
        <v>45289</v>
      </c>
      <c r="C229" t="s">
        <v>10</v>
      </c>
      <c r="D229" t="s">
        <v>11</v>
      </c>
      <c r="E229" t="s">
        <v>211</v>
      </c>
      <c r="F229">
        <v>8</v>
      </c>
      <c r="G229">
        <v>2122</v>
      </c>
      <c r="H229">
        <v>16976</v>
      </c>
      <c r="I229">
        <v>6656</v>
      </c>
      <c r="J229" t="s">
        <v>22</v>
      </c>
    </row>
    <row r="230" spans="1:10" x14ac:dyDescent="0.35">
      <c r="A230" t="s">
        <v>298</v>
      </c>
      <c r="B230" s="1">
        <v>45118</v>
      </c>
      <c r="C230" t="s">
        <v>10</v>
      </c>
      <c r="D230" t="s">
        <v>11</v>
      </c>
      <c r="E230" t="s">
        <v>113</v>
      </c>
      <c r="F230">
        <v>5</v>
      </c>
      <c r="G230">
        <v>2272</v>
      </c>
      <c r="H230">
        <v>11360</v>
      </c>
      <c r="I230">
        <v>1789</v>
      </c>
      <c r="J230" t="s">
        <v>32</v>
      </c>
    </row>
    <row r="231" spans="1:10" x14ac:dyDescent="0.35">
      <c r="A231" t="s">
        <v>299</v>
      </c>
      <c r="B231" s="1">
        <v>45158</v>
      </c>
      <c r="C231" t="s">
        <v>30</v>
      </c>
      <c r="D231" t="s">
        <v>25</v>
      </c>
      <c r="E231" t="s">
        <v>31</v>
      </c>
      <c r="F231">
        <v>4</v>
      </c>
      <c r="G231">
        <v>746</v>
      </c>
      <c r="H231">
        <v>2984</v>
      </c>
      <c r="I231">
        <v>1084</v>
      </c>
      <c r="J231" t="s">
        <v>17</v>
      </c>
    </row>
    <row r="232" spans="1:10" x14ac:dyDescent="0.35">
      <c r="A232" t="s">
        <v>300</v>
      </c>
      <c r="B232" s="1">
        <v>45133</v>
      </c>
      <c r="C232" t="s">
        <v>19</v>
      </c>
      <c r="D232" t="s">
        <v>15</v>
      </c>
      <c r="E232" t="s">
        <v>34</v>
      </c>
      <c r="F232">
        <v>10</v>
      </c>
      <c r="G232">
        <v>3327</v>
      </c>
      <c r="H232">
        <v>33270</v>
      </c>
      <c r="I232">
        <v>11862</v>
      </c>
      <c r="J232" t="s">
        <v>22</v>
      </c>
    </row>
    <row r="233" spans="1:10" x14ac:dyDescent="0.35">
      <c r="A233" t="s">
        <v>301</v>
      </c>
      <c r="B233" s="1">
        <v>45082</v>
      </c>
      <c r="C233" t="s">
        <v>30</v>
      </c>
      <c r="D233" t="s">
        <v>20</v>
      </c>
      <c r="E233" t="s">
        <v>302</v>
      </c>
      <c r="F233">
        <v>5</v>
      </c>
      <c r="G233">
        <v>1507</v>
      </c>
      <c r="H233">
        <v>7535</v>
      </c>
      <c r="I233">
        <v>1015</v>
      </c>
      <c r="J233" t="s">
        <v>13</v>
      </c>
    </row>
    <row r="234" spans="1:10" x14ac:dyDescent="0.35">
      <c r="A234" t="s">
        <v>303</v>
      </c>
      <c r="B234" s="1">
        <v>45135</v>
      </c>
      <c r="C234" t="s">
        <v>19</v>
      </c>
      <c r="D234" t="s">
        <v>25</v>
      </c>
      <c r="E234" t="s">
        <v>34</v>
      </c>
      <c r="F234">
        <v>1</v>
      </c>
      <c r="G234">
        <v>2492</v>
      </c>
      <c r="H234">
        <v>2492</v>
      </c>
      <c r="I234">
        <v>515</v>
      </c>
      <c r="J234" t="s">
        <v>22</v>
      </c>
    </row>
    <row r="235" spans="1:10" x14ac:dyDescent="0.35">
      <c r="A235" t="s">
        <v>304</v>
      </c>
      <c r="B235" s="1">
        <v>45259</v>
      </c>
      <c r="C235" t="s">
        <v>30</v>
      </c>
      <c r="D235" t="s">
        <v>15</v>
      </c>
      <c r="E235" t="s">
        <v>12</v>
      </c>
      <c r="F235">
        <v>1</v>
      </c>
      <c r="G235">
        <v>3039</v>
      </c>
      <c r="H235">
        <v>3039</v>
      </c>
      <c r="I235">
        <v>1023</v>
      </c>
      <c r="J235" t="s">
        <v>13</v>
      </c>
    </row>
    <row r="236" spans="1:10" x14ac:dyDescent="0.35">
      <c r="A236" t="s">
        <v>305</v>
      </c>
      <c r="B236" s="1">
        <v>45120</v>
      </c>
      <c r="C236" t="s">
        <v>10</v>
      </c>
      <c r="D236" t="s">
        <v>11</v>
      </c>
      <c r="E236" t="s">
        <v>74</v>
      </c>
      <c r="F236">
        <v>2</v>
      </c>
      <c r="G236">
        <v>3066</v>
      </c>
      <c r="H236">
        <v>6132</v>
      </c>
      <c r="I236">
        <v>1288</v>
      </c>
      <c r="J236" t="s">
        <v>17</v>
      </c>
    </row>
    <row r="237" spans="1:10" x14ac:dyDescent="0.35">
      <c r="A237" t="s">
        <v>306</v>
      </c>
      <c r="B237" s="1">
        <v>45221</v>
      </c>
      <c r="C237" t="s">
        <v>24</v>
      </c>
      <c r="D237" t="s">
        <v>11</v>
      </c>
      <c r="E237" t="s">
        <v>123</v>
      </c>
      <c r="F237">
        <v>4</v>
      </c>
      <c r="G237">
        <v>616</v>
      </c>
      <c r="H237">
        <v>2464</v>
      </c>
      <c r="I237">
        <v>490</v>
      </c>
      <c r="J237" t="s">
        <v>22</v>
      </c>
    </row>
    <row r="238" spans="1:10" x14ac:dyDescent="0.35">
      <c r="A238" t="s">
        <v>307</v>
      </c>
      <c r="B238" s="1">
        <v>45246</v>
      </c>
      <c r="C238" t="s">
        <v>10</v>
      </c>
      <c r="D238" t="s">
        <v>15</v>
      </c>
      <c r="E238" t="s">
        <v>111</v>
      </c>
      <c r="F238">
        <v>3</v>
      </c>
      <c r="G238">
        <v>559</v>
      </c>
      <c r="H238">
        <v>1677</v>
      </c>
      <c r="I238">
        <v>497</v>
      </c>
      <c r="J238" t="s">
        <v>32</v>
      </c>
    </row>
    <row r="239" spans="1:10" x14ac:dyDescent="0.35">
      <c r="A239" t="s">
        <v>308</v>
      </c>
      <c r="B239" s="1">
        <v>45276</v>
      </c>
      <c r="C239" t="s">
        <v>30</v>
      </c>
      <c r="D239" t="s">
        <v>40</v>
      </c>
      <c r="E239" t="s">
        <v>34</v>
      </c>
      <c r="F239">
        <v>2</v>
      </c>
      <c r="G239">
        <v>963</v>
      </c>
      <c r="H239">
        <v>1926</v>
      </c>
      <c r="I239">
        <v>301</v>
      </c>
      <c r="J239" t="s">
        <v>13</v>
      </c>
    </row>
    <row r="240" spans="1:10" x14ac:dyDescent="0.35">
      <c r="A240" t="s">
        <v>309</v>
      </c>
      <c r="B240" s="1">
        <v>45043</v>
      </c>
      <c r="C240" t="s">
        <v>10</v>
      </c>
      <c r="D240" t="s">
        <v>40</v>
      </c>
      <c r="E240" t="s">
        <v>130</v>
      </c>
      <c r="F240">
        <v>9</v>
      </c>
      <c r="G240">
        <v>3583</v>
      </c>
      <c r="H240">
        <v>32247</v>
      </c>
      <c r="I240">
        <v>9352</v>
      </c>
      <c r="J240" t="s">
        <v>13</v>
      </c>
    </row>
    <row r="241" spans="1:10" x14ac:dyDescent="0.35">
      <c r="A241" t="s">
        <v>310</v>
      </c>
      <c r="B241" s="1">
        <v>45042</v>
      </c>
      <c r="C241" t="s">
        <v>19</v>
      </c>
      <c r="D241" t="s">
        <v>20</v>
      </c>
      <c r="E241" t="s">
        <v>173</v>
      </c>
      <c r="F241">
        <v>6</v>
      </c>
      <c r="G241">
        <v>3623</v>
      </c>
      <c r="H241">
        <v>21738</v>
      </c>
      <c r="I241">
        <v>8240</v>
      </c>
      <c r="J241" t="s">
        <v>13</v>
      </c>
    </row>
    <row r="242" spans="1:10" x14ac:dyDescent="0.35">
      <c r="A242" t="s">
        <v>311</v>
      </c>
      <c r="B242" s="1">
        <v>44960</v>
      </c>
      <c r="C242" t="s">
        <v>19</v>
      </c>
      <c r="D242" t="s">
        <v>40</v>
      </c>
      <c r="E242" t="s">
        <v>211</v>
      </c>
      <c r="F242">
        <v>9</v>
      </c>
      <c r="G242">
        <v>1334</v>
      </c>
      <c r="H242">
        <v>12006</v>
      </c>
      <c r="I242">
        <v>3458</v>
      </c>
      <c r="J242" t="s">
        <v>13</v>
      </c>
    </row>
    <row r="243" spans="1:10" x14ac:dyDescent="0.35">
      <c r="A243" t="s">
        <v>312</v>
      </c>
      <c r="B243" s="1">
        <v>45277</v>
      </c>
      <c r="C243" t="s">
        <v>10</v>
      </c>
      <c r="D243" t="s">
        <v>25</v>
      </c>
      <c r="E243" t="s">
        <v>43</v>
      </c>
      <c r="F243">
        <v>4</v>
      </c>
      <c r="G243">
        <v>3268</v>
      </c>
      <c r="H243">
        <v>13072</v>
      </c>
      <c r="I243">
        <v>4885</v>
      </c>
      <c r="J243" t="s">
        <v>32</v>
      </c>
    </row>
    <row r="244" spans="1:10" x14ac:dyDescent="0.35">
      <c r="A244" t="s">
        <v>313</v>
      </c>
      <c r="B244" s="1">
        <v>44993</v>
      </c>
      <c r="C244" t="s">
        <v>10</v>
      </c>
      <c r="D244" t="s">
        <v>11</v>
      </c>
      <c r="E244" t="s">
        <v>58</v>
      </c>
      <c r="F244">
        <v>1</v>
      </c>
      <c r="G244">
        <v>1230</v>
      </c>
      <c r="H244">
        <v>1230</v>
      </c>
      <c r="I244">
        <v>290</v>
      </c>
      <c r="J244" t="s">
        <v>32</v>
      </c>
    </row>
    <row r="245" spans="1:10" x14ac:dyDescent="0.35">
      <c r="A245" t="s">
        <v>314</v>
      </c>
      <c r="B245" s="1">
        <v>44935</v>
      </c>
      <c r="C245" t="s">
        <v>30</v>
      </c>
      <c r="D245" t="s">
        <v>11</v>
      </c>
      <c r="E245" t="s">
        <v>64</v>
      </c>
      <c r="F245">
        <v>9</v>
      </c>
      <c r="G245">
        <v>4784</v>
      </c>
      <c r="H245">
        <v>43056</v>
      </c>
      <c r="I245">
        <v>4938</v>
      </c>
      <c r="J245" t="s">
        <v>13</v>
      </c>
    </row>
    <row r="246" spans="1:10" x14ac:dyDescent="0.35">
      <c r="A246" t="s">
        <v>315</v>
      </c>
      <c r="B246" s="1">
        <v>45173</v>
      </c>
      <c r="C246" t="s">
        <v>30</v>
      </c>
      <c r="D246" t="s">
        <v>20</v>
      </c>
      <c r="E246" t="s">
        <v>34</v>
      </c>
      <c r="F246">
        <v>6</v>
      </c>
      <c r="G246">
        <v>1109</v>
      </c>
      <c r="H246">
        <v>6654</v>
      </c>
      <c r="I246">
        <v>2558</v>
      </c>
      <c r="J246" t="s">
        <v>32</v>
      </c>
    </row>
    <row r="247" spans="1:10" x14ac:dyDescent="0.35">
      <c r="A247" t="s">
        <v>316</v>
      </c>
      <c r="B247" s="1">
        <v>45044</v>
      </c>
      <c r="C247" t="s">
        <v>24</v>
      </c>
      <c r="D247" t="s">
        <v>40</v>
      </c>
      <c r="E247" t="s">
        <v>218</v>
      </c>
      <c r="F247">
        <v>4</v>
      </c>
      <c r="G247">
        <v>3495</v>
      </c>
      <c r="H247">
        <v>13980</v>
      </c>
      <c r="I247">
        <v>4290</v>
      </c>
      <c r="J247" t="s">
        <v>17</v>
      </c>
    </row>
    <row r="248" spans="1:10" x14ac:dyDescent="0.35">
      <c r="A248" t="s">
        <v>317</v>
      </c>
      <c r="B248" s="1">
        <v>45027</v>
      </c>
      <c r="C248" t="s">
        <v>24</v>
      </c>
      <c r="D248" t="s">
        <v>15</v>
      </c>
      <c r="E248" t="s">
        <v>41</v>
      </c>
      <c r="F248">
        <v>5</v>
      </c>
      <c r="G248">
        <v>1766</v>
      </c>
      <c r="H248">
        <v>8830</v>
      </c>
      <c r="I248">
        <v>1039</v>
      </c>
      <c r="J248" t="s">
        <v>22</v>
      </c>
    </row>
    <row r="249" spans="1:10" x14ac:dyDescent="0.35">
      <c r="A249" t="s">
        <v>318</v>
      </c>
      <c r="B249" s="1">
        <v>45192</v>
      </c>
      <c r="C249" t="s">
        <v>10</v>
      </c>
      <c r="D249" t="s">
        <v>25</v>
      </c>
      <c r="E249" t="s">
        <v>113</v>
      </c>
      <c r="F249">
        <v>5</v>
      </c>
      <c r="G249">
        <v>1042</v>
      </c>
      <c r="H249">
        <v>5210</v>
      </c>
      <c r="I249">
        <v>1126</v>
      </c>
      <c r="J249" t="s">
        <v>22</v>
      </c>
    </row>
    <row r="250" spans="1:10" x14ac:dyDescent="0.35">
      <c r="A250" t="s">
        <v>319</v>
      </c>
      <c r="B250" s="1">
        <v>44951</v>
      </c>
      <c r="C250" t="s">
        <v>30</v>
      </c>
      <c r="D250" t="s">
        <v>11</v>
      </c>
      <c r="E250" t="s">
        <v>102</v>
      </c>
      <c r="F250">
        <v>9</v>
      </c>
      <c r="G250">
        <v>2684</v>
      </c>
      <c r="H250">
        <v>24156</v>
      </c>
      <c r="I250">
        <v>9542</v>
      </c>
      <c r="J250" t="s">
        <v>32</v>
      </c>
    </row>
    <row r="251" spans="1:10" x14ac:dyDescent="0.35">
      <c r="A251" t="s">
        <v>320</v>
      </c>
      <c r="B251" s="1">
        <v>45225</v>
      </c>
      <c r="C251" t="s">
        <v>19</v>
      </c>
      <c r="D251" t="s">
        <v>20</v>
      </c>
      <c r="E251" t="s">
        <v>137</v>
      </c>
      <c r="F251">
        <v>10</v>
      </c>
      <c r="G251">
        <v>4609</v>
      </c>
      <c r="H251">
        <v>46090</v>
      </c>
      <c r="I251">
        <v>17957</v>
      </c>
      <c r="J251" t="s">
        <v>32</v>
      </c>
    </row>
    <row r="252" spans="1:10" x14ac:dyDescent="0.35">
      <c r="A252" t="s">
        <v>321</v>
      </c>
      <c r="B252" s="1">
        <v>45017</v>
      </c>
      <c r="C252" t="s">
        <v>24</v>
      </c>
      <c r="D252" t="s">
        <v>11</v>
      </c>
      <c r="E252" t="s">
        <v>41</v>
      </c>
      <c r="F252">
        <v>2</v>
      </c>
      <c r="G252">
        <v>2260</v>
      </c>
      <c r="H252">
        <v>4520</v>
      </c>
      <c r="I252">
        <v>805</v>
      </c>
      <c r="J252" t="s">
        <v>32</v>
      </c>
    </row>
    <row r="253" spans="1:10" x14ac:dyDescent="0.35">
      <c r="A253" t="s">
        <v>322</v>
      </c>
      <c r="B253" s="1">
        <v>45253</v>
      </c>
      <c r="C253" t="s">
        <v>30</v>
      </c>
      <c r="D253" t="s">
        <v>15</v>
      </c>
      <c r="E253" t="s">
        <v>128</v>
      </c>
      <c r="F253">
        <v>10</v>
      </c>
      <c r="G253">
        <v>2710</v>
      </c>
      <c r="H253">
        <v>27100</v>
      </c>
      <c r="I253">
        <v>4680</v>
      </c>
      <c r="J253" t="s">
        <v>22</v>
      </c>
    </row>
    <row r="254" spans="1:10" x14ac:dyDescent="0.35">
      <c r="A254" t="s">
        <v>323</v>
      </c>
      <c r="B254" s="1">
        <v>45289</v>
      </c>
      <c r="C254" t="s">
        <v>30</v>
      </c>
      <c r="D254" t="s">
        <v>40</v>
      </c>
      <c r="E254" t="s">
        <v>137</v>
      </c>
      <c r="F254">
        <v>6</v>
      </c>
      <c r="G254">
        <v>4107</v>
      </c>
      <c r="H254">
        <v>24642</v>
      </c>
      <c r="I254">
        <v>3297</v>
      </c>
      <c r="J254" t="s">
        <v>32</v>
      </c>
    </row>
    <row r="255" spans="1:10" x14ac:dyDescent="0.35">
      <c r="A255" t="s">
        <v>324</v>
      </c>
      <c r="B255" s="1">
        <v>44966</v>
      </c>
      <c r="C255" t="s">
        <v>30</v>
      </c>
      <c r="D255" t="s">
        <v>11</v>
      </c>
      <c r="E255" t="s">
        <v>102</v>
      </c>
      <c r="F255">
        <v>10</v>
      </c>
      <c r="G255">
        <v>1400</v>
      </c>
      <c r="H255">
        <v>14000</v>
      </c>
      <c r="I255">
        <v>3407</v>
      </c>
      <c r="J255" t="s">
        <v>13</v>
      </c>
    </row>
    <row r="256" spans="1:10" x14ac:dyDescent="0.35">
      <c r="A256" t="s">
        <v>325</v>
      </c>
      <c r="B256" s="1">
        <v>45162</v>
      </c>
      <c r="C256" t="s">
        <v>10</v>
      </c>
      <c r="D256" t="s">
        <v>15</v>
      </c>
      <c r="E256" t="s">
        <v>78</v>
      </c>
      <c r="F256">
        <v>6</v>
      </c>
      <c r="G256">
        <v>4193</v>
      </c>
      <c r="H256">
        <v>25158</v>
      </c>
      <c r="I256">
        <v>4530</v>
      </c>
      <c r="J256" t="s">
        <v>22</v>
      </c>
    </row>
    <row r="257" spans="1:10" x14ac:dyDescent="0.35">
      <c r="A257" t="s">
        <v>326</v>
      </c>
      <c r="B257" s="1">
        <v>45184</v>
      </c>
      <c r="C257" t="s">
        <v>10</v>
      </c>
      <c r="D257" t="s">
        <v>40</v>
      </c>
      <c r="E257" t="s">
        <v>71</v>
      </c>
      <c r="F257">
        <v>4</v>
      </c>
      <c r="G257">
        <v>4342</v>
      </c>
      <c r="H257">
        <v>17368</v>
      </c>
      <c r="I257">
        <v>3668</v>
      </c>
      <c r="J257" t="s">
        <v>17</v>
      </c>
    </row>
    <row r="258" spans="1:10" x14ac:dyDescent="0.35">
      <c r="A258" t="s">
        <v>327</v>
      </c>
      <c r="B258" s="1">
        <v>45002</v>
      </c>
      <c r="C258" t="s">
        <v>19</v>
      </c>
      <c r="D258" t="s">
        <v>20</v>
      </c>
      <c r="E258" t="s">
        <v>21</v>
      </c>
      <c r="F258">
        <v>9</v>
      </c>
      <c r="G258">
        <v>2941</v>
      </c>
      <c r="H258">
        <v>26469</v>
      </c>
      <c r="I258">
        <v>6552</v>
      </c>
      <c r="J258" t="s">
        <v>13</v>
      </c>
    </row>
    <row r="259" spans="1:10" x14ac:dyDescent="0.35">
      <c r="A259" t="s">
        <v>328</v>
      </c>
      <c r="B259" s="1">
        <v>44955</v>
      </c>
      <c r="C259" t="s">
        <v>19</v>
      </c>
      <c r="D259" t="s">
        <v>15</v>
      </c>
      <c r="E259" t="s">
        <v>26</v>
      </c>
      <c r="F259">
        <v>2</v>
      </c>
      <c r="G259">
        <v>2766</v>
      </c>
      <c r="H259">
        <v>5532</v>
      </c>
      <c r="I259">
        <v>2082</v>
      </c>
      <c r="J259" t="s">
        <v>17</v>
      </c>
    </row>
    <row r="260" spans="1:10" x14ac:dyDescent="0.35">
      <c r="A260" t="s">
        <v>329</v>
      </c>
      <c r="B260" s="1">
        <v>45049</v>
      </c>
      <c r="C260" t="s">
        <v>24</v>
      </c>
      <c r="D260" t="s">
        <v>20</v>
      </c>
      <c r="E260" t="s">
        <v>92</v>
      </c>
      <c r="F260">
        <v>7</v>
      </c>
      <c r="G260">
        <v>4805</v>
      </c>
      <c r="H260">
        <v>33635</v>
      </c>
      <c r="I260">
        <v>6035</v>
      </c>
      <c r="J260" t="s">
        <v>32</v>
      </c>
    </row>
    <row r="261" spans="1:10" x14ac:dyDescent="0.35">
      <c r="A261" t="s">
        <v>330</v>
      </c>
      <c r="B261" s="1">
        <v>45061</v>
      </c>
      <c r="C261" t="s">
        <v>19</v>
      </c>
      <c r="D261" t="s">
        <v>11</v>
      </c>
      <c r="E261" t="s">
        <v>151</v>
      </c>
      <c r="F261">
        <v>1</v>
      </c>
      <c r="G261">
        <v>2465</v>
      </c>
      <c r="H261">
        <v>2465</v>
      </c>
      <c r="I261">
        <v>847</v>
      </c>
      <c r="J261" t="s">
        <v>17</v>
      </c>
    </row>
    <row r="262" spans="1:10" x14ac:dyDescent="0.35">
      <c r="A262" t="s">
        <v>331</v>
      </c>
      <c r="B262" s="1">
        <v>45277</v>
      </c>
      <c r="C262" t="s">
        <v>24</v>
      </c>
      <c r="D262" t="s">
        <v>15</v>
      </c>
      <c r="E262" t="s">
        <v>41</v>
      </c>
      <c r="F262">
        <v>6</v>
      </c>
      <c r="G262">
        <v>3823</v>
      </c>
      <c r="H262">
        <v>22938</v>
      </c>
      <c r="I262">
        <v>2569</v>
      </c>
      <c r="J262" t="s">
        <v>13</v>
      </c>
    </row>
    <row r="263" spans="1:10" x14ac:dyDescent="0.35">
      <c r="A263" t="s">
        <v>332</v>
      </c>
      <c r="B263" s="1">
        <v>45205</v>
      </c>
      <c r="C263" t="s">
        <v>24</v>
      </c>
      <c r="D263" t="s">
        <v>25</v>
      </c>
      <c r="E263" t="s">
        <v>211</v>
      </c>
      <c r="F263">
        <v>3</v>
      </c>
      <c r="G263">
        <v>849</v>
      </c>
      <c r="H263">
        <v>2547</v>
      </c>
      <c r="I263">
        <v>622</v>
      </c>
      <c r="J263" t="s">
        <v>22</v>
      </c>
    </row>
    <row r="264" spans="1:10" x14ac:dyDescent="0.35">
      <c r="A264" t="s">
        <v>333</v>
      </c>
      <c r="B264" s="1">
        <v>45043</v>
      </c>
      <c r="C264" t="s">
        <v>30</v>
      </c>
      <c r="D264" t="s">
        <v>20</v>
      </c>
      <c r="E264" t="s">
        <v>71</v>
      </c>
      <c r="F264">
        <v>4</v>
      </c>
      <c r="G264">
        <v>3590</v>
      </c>
      <c r="H264">
        <v>14360</v>
      </c>
      <c r="I264">
        <v>4470</v>
      </c>
      <c r="J264" t="s">
        <v>13</v>
      </c>
    </row>
    <row r="265" spans="1:10" x14ac:dyDescent="0.35">
      <c r="A265" t="s">
        <v>334</v>
      </c>
      <c r="B265" s="1">
        <v>45242</v>
      </c>
      <c r="C265" t="s">
        <v>30</v>
      </c>
      <c r="D265" t="s">
        <v>15</v>
      </c>
      <c r="E265" t="s">
        <v>216</v>
      </c>
      <c r="F265">
        <v>2</v>
      </c>
      <c r="G265">
        <v>4884</v>
      </c>
      <c r="H265">
        <v>9768</v>
      </c>
      <c r="I265">
        <v>2060</v>
      </c>
      <c r="J265" t="s">
        <v>17</v>
      </c>
    </row>
    <row r="266" spans="1:10" x14ac:dyDescent="0.35">
      <c r="A266" t="s">
        <v>335</v>
      </c>
      <c r="B266" s="1">
        <v>45285</v>
      </c>
      <c r="C266" t="s">
        <v>30</v>
      </c>
      <c r="D266" t="s">
        <v>20</v>
      </c>
      <c r="E266" t="s">
        <v>118</v>
      </c>
      <c r="F266">
        <v>1</v>
      </c>
      <c r="G266">
        <v>1617</v>
      </c>
      <c r="H266">
        <v>1617</v>
      </c>
      <c r="I266">
        <v>357</v>
      </c>
      <c r="J266" t="s">
        <v>22</v>
      </c>
    </row>
    <row r="267" spans="1:10" x14ac:dyDescent="0.35">
      <c r="A267" t="s">
        <v>336</v>
      </c>
      <c r="B267" s="1">
        <v>45262</v>
      </c>
      <c r="C267" t="s">
        <v>24</v>
      </c>
      <c r="D267" t="s">
        <v>15</v>
      </c>
      <c r="E267" t="s">
        <v>48</v>
      </c>
      <c r="F267">
        <v>9</v>
      </c>
      <c r="G267">
        <v>2176</v>
      </c>
      <c r="H267">
        <v>19584</v>
      </c>
      <c r="I267">
        <v>6105</v>
      </c>
      <c r="J267" t="s">
        <v>17</v>
      </c>
    </row>
    <row r="268" spans="1:10" x14ac:dyDescent="0.35">
      <c r="A268" t="s">
        <v>337</v>
      </c>
      <c r="B268" s="1">
        <v>45052</v>
      </c>
      <c r="C268" t="s">
        <v>10</v>
      </c>
      <c r="D268" t="s">
        <v>11</v>
      </c>
      <c r="E268" t="s">
        <v>216</v>
      </c>
      <c r="F268">
        <v>2</v>
      </c>
      <c r="G268">
        <v>643</v>
      </c>
      <c r="H268">
        <v>1286</v>
      </c>
      <c r="I268">
        <v>510</v>
      </c>
      <c r="J268" t="s">
        <v>13</v>
      </c>
    </row>
    <row r="269" spans="1:10" x14ac:dyDescent="0.35">
      <c r="A269" t="s">
        <v>338</v>
      </c>
      <c r="B269" s="1">
        <v>45016</v>
      </c>
      <c r="C269" t="s">
        <v>10</v>
      </c>
      <c r="D269" t="s">
        <v>20</v>
      </c>
      <c r="E269" t="s">
        <v>149</v>
      </c>
      <c r="F269">
        <v>8</v>
      </c>
      <c r="G269">
        <v>4146</v>
      </c>
      <c r="H269">
        <v>33168</v>
      </c>
      <c r="I269">
        <v>4463</v>
      </c>
      <c r="J269" t="s">
        <v>17</v>
      </c>
    </row>
    <row r="270" spans="1:10" x14ac:dyDescent="0.35">
      <c r="A270" t="s">
        <v>339</v>
      </c>
      <c r="B270" s="1">
        <v>44959</v>
      </c>
      <c r="C270" t="s">
        <v>24</v>
      </c>
      <c r="D270" t="s">
        <v>11</v>
      </c>
      <c r="E270" t="s">
        <v>137</v>
      </c>
      <c r="F270">
        <v>6</v>
      </c>
      <c r="G270">
        <v>4799</v>
      </c>
      <c r="H270">
        <v>28794</v>
      </c>
      <c r="I270">
        <v>11433</v>
      </c>
      <c r="J270" t="s">
        <v>13</v>
      </c>
    </row>
    <row r="271" spans="1:10" x14ac:dyDescent="0.35">
      <c r="A271" t="s">
        <v>340</v>
      </c>
      <c r="B271" s="1">
        <v>45279</v>
      </c>
      <c r="C271" t="s">
        <v>19</v>
      </c>
      <c r="D271" t="s">
        <v>20</v>
      </c>
      <c r="E271" t="s">
        <v>74</v>
      </c>
      <c r="F271">
        <v>1</v>
      </c>
      <c r="G271">
        <v>671</v>
      </c>
      <c r="H271">
        <v>671</v>
      </c>
      <c r="I271">
        <v>265</v>
      </c>
      <c r="J271" t="s">
        <v>32</v>
      </c>
    </row>
    <row r="272" spans="1:10" x14ac:dyDescent="0.35">
      <c r="A272" t="s">
        <v>341</v>
      </c>
      <c r="B272" s="1">
        <v>45189</v>
      </c>
      <c r="C272" t="s">
        <v>24</v>
      </c>
      <c r="D272" t="s">
        <v>25</v>
      </c>
      <c r="E272" t="s">
        <v>218</v>
      </c>
      <c r="F272">
        <v>8</v>
      </c>
      <c r="G272">
        <v>4447</v>
      </c>
      <c r="H272">
        <v>35576</v>
      </c>
      <c r="I272">
        <v>6503</v>
      </c>
      <c r="J272" t="s">
        <v>32</v>
      </c>
    </row>
    <row r="273" spans="1:10" x14ac:dyDescent="0.35">
      <c r="A273" t="s">
        <v>342</v>
      </c>
      <c r="B273" s="1">
        <v>45110</v>
      </c>
      <c r="C273" t="s">
        <v>10</v>
      </c>
      <c r="D273" t="s">
        <v>11</v>
      </c>
      <c r="E273" t="s">
        <v>87</v>
      </c>
      <c r="F273">
        <v>10</v>
      </c>
      <c r="G273">
        <v>2302</v>
      </c>
      <c r="H273">
        <v>23020</v>
      </c>
      <c r="I273">
        <v>5143</v>
      </c>
      <c r="J273" t="s">
        <v>32</v>
      </c>
    </row>
    <row r="274" spans="1:10" x14ac:dyDescent="0.35">
      <c r="A274" t="s">
        <v>343</v>
      </c>
      <c r="B274" s="1">
        <v>45107</v>
      </c>
      <c r="C274" t="s">
        <v>30</v>
      </c>
      <c r="D274" t="s">
        <v>11</v>
      </c>
      <c r="E274" t="s">
        <v>149</v>
      </c>
      <c r="F274">
        <v>9</v>
      </c>
      <c r="G274">
        <v>1722</v>
      </c>
      <c r="H274">
        <v>15498</v>
      </c>
      <c r="I274">
        <v>1964</v>
      </c>
      <c r="J274" t="s">
        <v>17</v>
      </c>
    </row>
    <row r="275" spans="1:10" x14ac:dyDescent="0.35">
      <c r="A275" t="s">
        <v>344</v>
      </c>
      <c r="B275" s="1">
        <v>45233</v>
      </c>
      <c r="C275" t="s">
        <v>19</v>
      </c>
      <c r="D275" t="s">
        <v>40</v>
      </c>
      <c r="E275" t="s">
        <v>218</v>
      </c>
      <c r="F275">
        <v>5</v>
      </c>
      <c r="G275">
        <v>4060</v>
      </c>
      <c r="H275">
        <v>20300</v>
      </c>
      <c r="I275">
        <v>5082</v>
      </c>
      <c r="J275" t="s">
        <v>22</v>
      </c>
    </row>
    <row r="276" spans="1:10" x14ac:dyDescent="0.35">
      <c r="A276" t="s">
        <v>345</v>
      </c>
      <c r="B276" s="1">
        <v>45060</v>
      </c>
      <c r="C276" t="s">
        <v>24</v>
      </c>
      <c r="D276" t="s">
        <v>11</v>
      </c>
      <c r="E276" t="s">
        <v>137</v>
      </c>
      <c r="F276">
        <v>5</v>
      </c>
      <c r="G276">
        <v>4527</v>
      </c>
      <c r="H276">
        <v>22635</v>
      </c>
      <c r="I276">
        <v>8667</v>
      </c>
      <c r="J276" t="s">
        <v>13</v>
      </c>
    </row>
    <row r="277" spans="1:10" x14ac:dyDescent="0.35">
      <c r="A277" t="s">
        <v>346</v>
      </c>
      <c r="B277" s="1">
        <v>45183</v>
      </c>
      <c r="C277" t="s">
        <v>19</v>
      </c>
      <c r="D277" t="s">
        <v>11</v>
      </c>
      <c r="E277" t="s">
        <v>100</v>
      </c>
      <c r="F277">
        <v>2</v>
      </c>
      <c r="G277">
        <v>3216</v>
      </c>
      <c r="H277">
        <v>6432</v>
      </c>
      <c r="I277">
        <v>961</v>
      </c>
      <c r="J277" t="s">
        <v>17</v>
      </c>
    </row>
    <row r="278" spans="1:10" x14ac:dyDescent="0.35">
      <c r="A278" t="s">
        <v>347</v>
      </c>
      <c r="B278" s="1">
        <v>45267</v>
      </c>
      <c r="C278" t="s">
        <v>19</v>
      </c>
      <c r="D278" t="s">
        <v>11</v>
      </c>
      <c r="E278" t="s">
        <v>113</v>
      </c>
      <c r="F278">
        <v>8</v>
      </c>
      <c r="G278">
        <v>2074</v>
      </c>
      <c r="H278">
        <v>16592</v>
      </c>
      <c r="I278">
        <v>4923</v>
      </c>
      <c r="J278" t="s">
        <v>17</v>
      </c>
    </row>
    <row r="279" spans="1:10" x14ac:dyDescent="0.35">
      <c r="A279" t="s">
        <v>348</v>
      </c>
      <c r="B279" s="1">
        <v>45221</v>
      </c>
      <c r="C279" t="s">
        <v>10</v>
      </c>
      <c r="D279" t="s">
        <v>25</v>
      </c>
      <c r="E279" t="s">
        <v>113</v>
      </c>
      <c r="F279">
        <v>3</v>
      </c>
      <c r="G279">
        <v>2051</v>
      </c>
      <c r="H279">
        <v>6153</v>
      </c>
      <c r="I279">
        <v>2241</v>
      </c>
      <c r="J279" t="s">
        <v>22</v>
      </c>
    </row>
    <row r="280" spans="1:10" x14ac:dyDescent="0.35">
      <c r="A280" t="s">
        <v>349</v>
      </c>
      <c r="B280" s="1">
        <v>45119</v>
      </c>
      <c r="C280" t="s">
        <v>19</v>
      </c>
      <c r="D280" t="s">
        <v>40</v>
      </c>
      <c r="E280" t="s">
        <v>68</v>
      </c>
      <c r="F280">
        <v>2</v>
      </c>
      <c r="G280">
        <v>1693</v>
      </c>
      <c r="H280">
        <v>3386</v>
      </c>
      <c r="I280">
        <v>1209</v>
      </c>
      <c r="J280" t="s">
        <v>17</v>
      </c>
    </row>
    <row r="281" spans="1:10" x14ac:dyDescent="0.35">
      <c r="A281" t="s">
        <v>350</v>
      </c>
      <c r="B281" s="1">
        <v>44941</v>
      </c>
      <c r="C281" t="s">
        <v>24</v>
      </c>
      <c r="D281" t="s">
        <v>20</v>
      </c>
      <c r="E281" t="s">
        <v>179</v>
      </c>
      <c r="F281">
        <v>5</v>
      </c>
      <c r="G281">
        <v>4867</v>
      </c>
      <c r="H281">
        <v>24335</v>
      </c>
      <c r="I281">
        <v>8031</v>
      </c>
      <c r="J281" t="s">
        <v>17</v>
      </c>
    </row>
    <row r="282" spans="1:10" x14ac:dyDescent="0.35">
      <c r="A282" t="s">
        <v>351</v>
      </c>
      <c r="B282" s="1">
        <v>45160</v>
      </c>
      <c r="C282" t="s">
        <v>24</v>
      </c>
      <c r="D282" t="s">
        <v>20</v>
      </c>
      <c r="E282" t="s">
        <v>89</v>
      </c>
      <c r="F282">
        <v>6</v>
      </c>
      <c r="G282">
        <v>4794</v>
      </c>
      <c r="H282">
        <v>28764</v>
      </c>
      <c r="I282">
        <v>5842</v>
      </c>
      <c r="J282" t="s">
        <v>22</v>
      </c>
    </row>
    <row r="283" spans="1:10" x14ac:dyDescent="0.35">
      <c r="A283" t="s">
        <v>352</v>
      </c>
      <c r="B283" s="1">
        <v>44954</v>
      </c>
      <c r="C283" t="s">
        <v>10</v>
      </c>
      <c r="D283" t="s">
        <v>15</v>
      </c>
      <c r="E283" t="s">
        <v>34</v>
      </c>
      <c r="F283">
        <v>2</v>
      </c>
      <c r="G283">
        <v>4898</v>
      </c>
      <c r="H283">
        <v>9796</v>
      </c>
      <c r="I283">
        <v>2999</v>
      </c>
      <c r="J283" t="s">
        <v>32</v>
      </c>
    </row>
    <row r="284" spans="1:10" x14ac:dyDescent="0.35">
      <c r="A284" t="s">
        <v>353</v>
      </c>
      <c r="B284" s="1">
        <v>44950</v>
      </c>
      <c r="C284" t="s">
        <v>30</v>
      </c>
      <c r="D284" t="s">
        <v>15</v>
      </c>
      <c r="E284" t="s">
        <v>211</v>
      </c>
      <c r="F284">
        <v>9</v>
      </c>
      <c r="G284">
        <v>4011</v>
      </c>
      <c r="H284">
        <v>36099</v>
      </c>
      <c r="I284">
        <v>4549</v>
      </c>
      <c r="J284" t="s">
        <v>22</v>
      </c>
    </row>
    <row r="285" spans="1:10" x14ac:dyDescent="0.35">
      <c r="A285" t="s">
        <v>354</v>
      </c>
      <c r="B285" s="1">
        <v>44945</v>
      </c>
      <c r="C285" t="s">
        <v>19</v>
      </c>
      <c r="D285" t="s">
        <v>25</v>
      </c>
      <c r="E285" t="s">
        <v>179</v>
      </c>
      <c r="F285">
        <v>7</v>
      </c>
      <c r="G285">
        <v>3773</v>
      </c>
      <c r="H285">
        <v>26411</v>
      </c>
      <c r="I285">
        <v>4522</v>
      </c>
      <c r="J285" t="s">
        <v>13</v>
      </c>
    </row>
    <row r="286" spans="1:10" x14ac:dyDescent="0.35">
      <c r="A286" t="s">
        <v>355</v>
      </c>
      <c r="B286" s="1">
        <v>45060</v>
      </c>
      <c r="C286" t="s">
        <v>10</v>
      </c>
      <c r="D286" t="s">
        <v>25</v>
      </c>
      <c r="E286" t="s">
        <v>302</v>
      </c>
      <c r="F286">
        <v>1</v>
      </c>
      <c r="G286">
        <v>2662</v>
      </c>
      <c r="H286">
        <v>2662</v>
      </c>
      <c r="I286">
        <v>331</v>
      </c>
      <c r="J286" t="s">
        <v>13</v>
      </c>
    </row>
    <row r="287" spans="1:10" x14ac:dyDescent="0.35">
      <c r="A287" t="s">
        <v>356</v>
      </c>
      <c r="B287" s="1">
        <v>44970</v>
      </c>
      <c r="C287" t="s">
        <v>10</v>
      </c>
      <c r="D287" t="s">
        <v>20</v>
      </c>
      <c r="E287" t="s">
        <v>92</v>
      </c>
      <c r="F287">
        <v>4</v>
      </c>
      <c r="G287">
        <v>3441</v>
      </c>
      <c r="H287">
        <v>13764</v>
      </c>
      <c r="I287">
        <v>4560</v>
      </c>
      <c r="J287" t="s">
        <v>13</v>
      </c>
    </row>
    <row r="288" spans="1:10" x14ac:dyDescent="0.35">
      <c r="A288" t="s">
        <v>357</v>
      </c>
      <c r="B288" s="1">
        <v>45081</v>
      </c>
      <c r="C288" t="s">
        <v>19</v>
      </c>
      <c r="D288" t="s">
        <v>40</v>
      </c>
      <c r="E288" t="s">
        <v>111</v>
      </c>
      <c r="F288">
        <v>9</v>
      </c>
      <c r="G288">
        <v>2817</v>
      </c>
      <c r="H288">
        <v>25353</v>
      </c>
      <c r="I288">
        <v>4599</v>
      </c>
      <c r="J288" t="s">
        <v>22</v>
      </c>
    </row>
    <row r="289" spans="1:10" x14ac:dyDescent="0.35">
      <c r="A289" t="s">
        <v>358</v>
      </c>
      <c r="B289" s="1">
        <v>45115</v>
      </c>
      <c r="C289" t="s">
        <v>24</v>
      </c>
      <c r="D289" t="s">
        <v>15</v>
      </c>
      <c r="E289" t="s">
        <v>208</v>
      </c>
      <c r="F289">
        <v>3</v>
      </c>
      <c r="G289">
        <v>4648</v>
      </c>
      <c r="H289">
        <v>13944</v>
      </c>
      <c r="I289">
        <v>1629</v>
      </c>
      <c r="J289" t="s">
        <v>13</v>
      </c>
    </row>
    <row r="290" spans="1:10" x14ac:dyDescent="0.35">
      <c r="A290" t="s">
        <v>359</v>
      </c>
      <c r="B290" s="1">
        <v>45189</v>
      </c>
      <c r="C290" t="s">
        <v>10</v>
      </c>
      <c r="D290" t="s">
        <v>40</v>
      </c>
      <c r="E290" t="s">
        <v>31</v>
      </c>
      <c r="F290">
        <v>3</v>
      </c>
      <c r="G290">
        <v>2662</v>
      </c>
      <c r="H290">
        <v>7986</v>
      </c>
      <c r="I290">
        <v>907</v>
      </c>
      <c r="J290" t="s">
        <v>22</v>
      </c>
    </row>
    <row r="291" spans="1:10" x14ac:dyDescent="0.35">
      <c r="A291" t="s">
        <v>360</v>
      </c>
      <c r="B291" s="1">
        <v>45170</v>
      </c>
      <c r="C291" t="s">
        <v>24</v>
      </c>
      <c r="D291" t="s">
        <v>40</v>
      </c>
      <c r="E291" t="s">
        <v>78</v>
      </c>
      <c r="F291">
        <v>8</v>
      </c>
      <c r="G291">
        <v>3459</v>
      </c>
      <c r="H291">
        <v>27672</v>
      </c>
      <c r="I291">
        <v>6217</v>
      </c>
      <c r="J291" t="s">
        <v>32</v>
      </c>
    </row>
    <row r="292" spans="1:10" x14ac:dyDescent="0.35">
      <c r="A292" t="s">
        <v>361</v>
      </c>
      <c r="B292" s="1">
        <v>45132</v>
      </c>
      <c r="C292" t="s">
        <v>19</v>
      </c>
      <c r="D292" t="s">
        <v>15</v>
      </c>
      <c r="E292" t="s">
        <v>46</v>
      </c>
      <c r="F292">
        <v>5</v>
      </c>
      <c r="G292">
        <v>2817</v>
      </c>
      <c r="H292">
        <v>14085</v>
      </c>
      <c r="I292">
        <v>1905</v>
      </c>
      <c r="J292" t="s">
        <v>32</v>
      </c>
    </row>
    <row r="293" spans="1:10" x14ac:dyDescent="0.35">
      <c r="A293" t="s">
        <v>362</v>
      </c>
      <c r="B293" s="1">
        <v>45072</v>
      </c>
      <c r="C293" t="s">
        <v>10</v>
      </c>
      <c r="D293" t="s">
        <v>25</v>
      </c>
      <c r="E293" t="s">
        <v>62</v>
      </c>
      <c r="F293">
        <v>5</v>
      </c>
      <c r="G293">
        <v>3581</v>
      </c>
      <c r="H293">
        <v>17905</v>
      </c>
      <c r="I293">
        <v>6762</v>
      </c>
      <c r="J293" t="s">
        <v>32</v>
      </c>
    </row>
    <row r="294" spans="1:10" x14ac:dyDescent="0.35">
      <c r="A294" t="s">
        <v>363</v>
      </c>
      <c r="B294" s="1">
        <v>45090</v>
      </c>
      <c r="C294" t="s">
        <v>30</v>
      </c>
      <c r="D294" t="s">
        <v>15</v>
      </c>
      <c r="E294" t="s">
        <v>179</v>
      </c>
      <c r="F294">
        <v>5</v>
      </c>
      <c r="G294">
        <v>2713</v>
      </c>
      <c r="H294">
        <v>13565</v>
      </c>
      <c r="I294">
        <v>4568</v>
      </c>
      <c r="J294" t="s">
        <v>13</v>
      </c>
    </row>
    <row r="295" spans="1:10" x14ac:dyDescent="0.35">
      <c r="A295" t="s">
        <v>364</v>
      </c>
      <c r="B295" s="1">
        <v>45116</v>
      </c>
      <c r="C295" t="s">
        <v>24</v>
      </c>
      <c r="D295" t="s">
        <v>40</v>
      </c>
      <c r="E295" t="s">
        <v>365</v>
      </c>
      <c r="F295">
        <v>5</v>
      </c>
      <c r="G295">
        <v>2198</v>
      </c>
      <c r="H295">
        <v>10990</v>
      </c>
      <c r="I295">
        <v>3487</v>
      </c>
      <c r="J295" t="s">
        <v>22</v>
      </c>
    </row>
    <row r="296" spans="1:10" x14ac:dyDescent="0.35">
      <c r="A296" t="s">
        <v>366</v>
      </c>
      <c r="B296" s="1">
        <v>45238</v>
      </c>
      <c r="C296" t="s">
        <v>10</v>
      </c>
      <c r="D296" t="s">
        <v>40</v>
      </c>
      <c r="E296" t="s">
        <v>216</v>
      </c>
      <c r="F296">
        <v>8</v>
      </c>
      <c r="G296">
        <v>960</v>
      </c>
      <c r="H296">
        <v>7680</v>
      </c>
      <c r="I296">
        <v>1790</v>
      </c>
      <c r="J296" t="s">
        <v>17</v>
      </c>
    </row>
    <row r="297" spans="1:10" x14ac:dyDescent="0.35">
      <c r="A297" t="s">
        <v>367</v>
      </c>
      <c r="B297" s="1">
        <v>44967</v>
      </c>
      <c r="C297" t="s">
        <v>19</v>
      </c>
      <c r="D297" t="s">
        <v>15</v>
      </c>
      <c r="E297" t="s">
        <v>126</v>
      </c>
      <c r="F297">
        <v>4</v>
      </c>
      <c r="G297">
        <v>2672</v>
      </c>
      <c r="H297">
        <v>10688</v>
      </c>
      <c r="I297">
        <v>2520</v>
      </c>
      <c r="J297" t="s">
        <v>17</v>
      </c>
    </row>
    <row r="298" spans="1:10" x14ac:dyDescent="0.35">
      <c r="A298" t="s">
        <v>368</v>
      </c>
      <c r="B298" s="1">
        <v>45169</v>
      </c>
      <c r="C298" t="s">
        <v>10</v>
      </c>
      <c r="D298" t="s">
        <v>20</v>
      </c>
      <c r="E298" t="s">
        <v>64</v>
      </c>
      <c r="F298">
        <v>5</v>
      </c>
      <c r="G298">
        <v>3115</v>
      </c>
      <c r="H298">
        <v>15575</v>
      </c>
      <c r="I298">
        <v>6001</v>
      </c>
      <c r="J298" t="s">
        <v>17</v>
      </c>
    </row>
    <row r="299" spans="1:10" x14ac:dyDescent="0.35">
      <c r="A299" t="s">
        <v>369</v>
      </c>
      <c r="B299" s="1">
        <v>44946</v>
      </c>
      <c r="C299" t="s">
        <v>24</v>
      </c>
      <c r="D299" t="s">
        <v>15</v>
      </c>
      <c r="E299" t="s">
        <v>26</v>
      </c>
      <c r="F299">
        <v>6</v>
      </c>
      <c r="G299">
        <v>1747</v>
      </c>
      <c r="H299">
        <v>10482</v>
      </c>
      <c r="I299">
        <v>2866</v>
      </c>
      <c r="J299" t="s">
        <v>32</v>
      </c>
    </row>
    <row r="300" spans="1:10" x14ac:dyDescent="0.35">
      <c r="A300" t="s">
        <v>370</v>
      </c>
      <c r="B300" s="1">
        <v>45133</v>
      </c>
      <c r="C300" t="s">
        <v>19</v>
      </c>
      <c r="D300" t="s">
        <v>11</v>
      </c>
      <c r="E300" t="s">
        <v>64</v>
      </c>
      <c r="F300">
        <v>4</v>
      </c>
      <c r="G300">
        <v>3729</v>
      </c>
      <c r="H300">
        <v>14916</v>
      </c>
      <c r="I300">
        <v>1835</v>
      </c>
      <c r="J300" t="s">
        <v>17</v>
      </c>
    </row>
    <row r="301" spans="1:10" x14ac:dyDescent="0.35">
      <c r="A301" t="s">
        <v>371</v>
      </c>
      <c r="B301" s="1">
        <v>45133</v>
      </c>
      <c r="C301" t="s">
        <v>30</v>
      </c>
      <c r="D301" t="s">
        <v>25</v>
      </c>
      <c r="E301" t="s">
        <v>87</v>
      </c>
      <c r="F301">
        <v>5</v>
      </c>
      <c r="G301">
        <v>4243</v>
      </c>
      <c r="H301">
        <v>21215</v>
      </c>
      <c r="I301">
        <v>7033</v>
      </c>
      <c r="J301" t="s">
        <v>17</v>
      </c>
    </row>
    <row r="302" spans="1:10" x14ac:dyDescent="0.35">
      <c r="A302" t="s">
        <v>372</v>
      </c>
      <c r="B302" s="1">
        <v>45004</v>
      </c>
      <c r="C302" t="s">
        <v>10</v>
      </c>
      <c r="D302" t="s">
        <v>20</v>
      </c>
      <c r="E302" t="s">
        <v>173</v>
      </c>
      <c r="F302">
        <v>2</v>
      </c>
      <c r="G302">
        <v>3028</v>
      </c>
      <c r="H302">
        <v>6056</v>
      </c>
      <c r="I302">
        <v>1687</v>
      </c>
      <c r="J302" t="s">
        <v>13</v>
      </c>
    </row>
    <row r="303" spans="1:10" x14ac:dyDescent="0.35">
      <c r="A303" t="s">
        <v>373</v>
      </c>
      <c r="B303" s="1">
        <v>44963</v>
      </c>
      <c r="C303" t="s">
        <v>19</v>
      </c>
      <c r="D303" t="s">
        <v>40</v>
      </c>
      <c r="E303" t="s">
        <v>26</v>
      </c>
      <c r="F303">
        <v>5</v>
      </c>
      <c r="G303">
        <v>4515</v>
      </c>
      <c r="H303">
        <v>22575</v>
      </c>
      <c r="I303">
        <v>4230</v>
      </c>
      <c r="J303" t="s">
        <v>13</v>
      </c>
    </row>
    <row r="304" spans="1:10" x14ac:dyDescent="0.35">
      <c r="A304" t="s">
        <v>374</v>
      </c>
      <c r="B304" s="1">
        <v>45169</v>
      </c>
      <c r="C304" t="s">
        <v>30</v>
      </c>
      <c r="D304" t="s">
        <v>40</v>
      </c>
      <c r="E304" t="s">
        <v>151</v>
      </c>
      <c r="F304">
        <v>8</v>
      </c>
      <c r="G304">
        <v>1896</v>
      </c>
      <c r="H304">
        <v>15168</v>
      </c>
      <c r="I304">
        <v>6029</v>
      </c>
      <c r="J304" t="s">
        <v>17</v>
      </c>
    </row>
    <row r="305" spans="1:10" x14ac:dyDescent="0.35">
      <c r="A305" t="s">
        <v>375</v>
      </c>
      <c r="B305" s="1">
        <v>44956</v>
      </c>
      <c r="C305" t="s">
        <v>19</v>
      </c>
      <c r="D305" t="s">
        <v>40</v>
      </c>
      <c r="E305" t="s">
        <v>34</v>
      </c>
      <c r="F305">
        <v>9</v>
      </c>
      <c r="G305">
        <v>1318</v>
      </c>
      <c r="H305">
        <v>11862</v>
      </c>
      <c r="I305">
        <v>3932</v>
      </c>
      <c r="J305" t="s">
        <v>17</v>
      </c>
    </row>
    <row r="306" spans="1:10" x14ac:dyDescent="0.35">
      <c r="A306" t="s">
        <v>376</v>
      </c>
      <c r="B306" s="1">
        <v>45197</v>
      </c>
      <c r="C306" t="s">
        <v>19</v>
      </c>
      <c r="D306" t="s">
        <v>25</v>
      </c>
      <c r="E306" t="s">
        <v>151</v>
      </c>
      <c r="F306">
        <v>5</v>
      </c>
      <c r="G306">
        <v>2309</v>
      </c>
      <c r="H306">
        <v>11545</v>
      </c>
      <c r="I306">
        <v>1780</v>
      </c>
      <c r="J306" t="s">
        <v>22</v>
      </c>
    </row>
    <row r="307" spans="1:10" x14ac:dyDescent="0.35">
      <c r="A307" t="s">
        <v>377</v>
      </c>
      <c r="B307" s="1">
        <v>44964</v>
      </c>
      <c r="C307" t="s">
        <v>19</v>
      </c>
      <c r="D307" t="s">
        <v>25</v>
      </c>
      <c r="E307" t="s">
        <v>216</v>
      </c>
      <c r="F307">
        <v>3</v>
      </c>
      <c r="G307">
        <v>4311</v>
      </c>
      <c r="H307">
        <v>12933</v>
      </c>
      <c r="I307">
        <v>1725</v>
      </c>
      <c r="J307" t="s">
        <v>32</v>
      </c>
    </row>
    <row r="308" spans="1:10" x14ac:dyDescent="0.35">
      <c r="A308" t="s">
        <v>378</v>
      </c>
      <c r="B308" s="1">
        <v>45046</v>
      </c>
      <c r="C308" t="s">
        <v>24</v>
      </c>
      <c r="D308" t="s">
        <v>25</v>
      </c>
      <c r="E308" t="s">
        <v>151</v>
      </c>
      <c r="F308">
        <v>3</v>
      </c>
      <c r="G308">
        <v>4711</v>
      </c>
      <c r="H308">
        <v>14133</v>
      </c>
      <c r="I308">
        <v>5007</v>
      </c>
      <c r="J308" t="s">
        <v>22</v>
      </c>
    </row>
    <row r="309" spans="1:10" x14ac:dyDescent="0.35">
      <c r="A309" t="s">
        <v>379</v>
      </c>
      <c r="B309" s="1">
        <v>45134</v>
      </c>
      <c r="C309" t="s">
        <v>10</v>
      </c>
      <c r="D309" t="s">
        <v>25</v>
      </c>
      <c r="E309" t="s">
        <v>208</v>
      </c>
      <c r="F309">
        <v>10</v>
      </c>
      <c r="G309">
        <v>680</v>
      </c>
      <c r="H309">
        <v>6800</v>
      </c>
      <c r="I309">
        <v>2238</v>
      </c>
      <c r="J309" t="s">
        <v>13</v>
      </c>
    </row>
    <row r="310" spans="1:10" x14ac:dyDescent="0.35">
      <c r="A310" t="s">
        <v>380</v>
      </c>
      <c r="B310" s="1">
        <v>45241</v>
      </c>
      <c r="C310" t="s">
        <v>30</v>
      </c>
      <c r="D310" t="s">
        <v>40</v>
      </c>
      <c r="E310" t="s">
        <v>71</v>
      </c>
      <c r="F310">
        <v>8</v>
      </c>
      <c r="G310">
        <v>530</v>
      </c>
      <c r="H310">
        <v>4240</v>
      </c>
      <c r="I310">
        <v>1440</v>
      </c>
      <c r="J310" t="s">
        <v>32</v>
      </c>
    </row>
    <row r="311" spans="1:10" x14ac:dyDescent="0.35">
      <c r="A311" t="s">
        <v>381</v>
      </c>
      <c r="B311" s="1">
        <v>45250</v>
      </c>
      <c r="C311" t="s">
        <v>30</v>
      </c>
      <c r="D311" t="s">
        <v>11</v>
      </c>
      <c r="E311" t="s">
        <v>55</v>
      </c>
      <c r="F311">
        <v>10</v>
      </c>
      <c r="G311">
        <v>2179</v>
      </c>
      <c r="H311">
        <v>21790</v>
      </c>
      <c r="I311">
        <v>2244</v>
      </c>
      <c r="J311" t="s">
        <v>32</v>
      </c>
    </row>
    <row r="312" spans="1:10" x14ac:dyDescent="0.35">
      <c r="A312" t="s">
        <v>382</v>
      </c>
      <c r="B312" s="1">
        <v>45272</v>
      </c>
      <c r="C312" t="s">
        <v>24</v>
      </c>
      <c r="D312" t="s">
        <v>20</v>
      </c>
      <c r="E312" t="s">
        <v>34</v>
      </c>
      <c r="F312">
        <v>8</v>
      </c>
      <c r="G312">
        <v>1110</v>
      </c>
      <c r="H312">
        <v>8880</v>
      </c>
      <c r="I312">
        <v>1057</v>
      </c>
      <c r="J312" t="s">
        <v>22</v>
      </c>
    </row>
    <row r="313" spans="1:10" x14ac:dyDescent="0.35">
      <c r="A313" t="s">
        <v>383</v>
      </c>
      <c r="B313" s="1">
        <v>45287</v>
      </c>
      <c r="C313" t="s">
        <v>30</v>
      </c>
      <c r="D313" t="s">
        <v>11</v>
      </c>
      <c r="E313" t="s">
        <v>118</v>
      </c>
      <c r="F313">
        <v>8</v>
      </c>
      <c r="G313">
        <v>3277</v>
      </c>
      <c r="H313">
        <v>26216</v>
      </c>
      <c r="I313">
        <v>2659</v>
      </c>
      <c r="J313" t="s">
        <v>22</v>
      </c>
    </row>
    <row r="314" spans="1:10" x14ac:dyDescent="0.35">
      <c r="A314" t="s">
        <v>384</v>
      </c>
      <c r="B314" s="1">
        <v>45051</v>
      </c>
      <c r="C314" t="s">
        <v>30</v>
      </c>
      <c r="D314" t="s">
        <v>20</v>
      </c>
      <c r="E314" t="s">
        <v>173</v>
      </c>
      <c r="F314">
        <v>9</v>
      </c>
      <c r="G314">
        <v>4336</v>
      </c>
      <c r="H314">
        <v>39024</v>
      </c>
      <c r="I314">
        <v>12372</v>
      </c>
      <c r="J314" t="s">
        <v>22</v>
      </c>
    </row>
    <row r="315" spans="1:10" x14ac:dyDescent="0.35">
      <c r="A315" t="s">
        <v>385</v>
      </c>
      <c r="B315" s="1">
        <v>44972</v>
      </c>
      <c r="C315" t="s">
        <v>24</v>
      </c>
      <c r="D315" t="s">
        <v>11</v>
      </c>
      <c r="E315" t="s">
        <v>126</v>
      </c>
      <c r="F315">
        <v>7</v>
      </c>
      <c r="G315">
        <v>3612</v>
      </c>
      <c r="H315">
        <v>25284</v>
      </c>
      <c r="I315">
        <v>2672</v>
      </c>
      <c r="J315" t="s">
        <v>17</v>
      </c>
    </row>
    <row r="316" spans="1:10" x14ac:dyDescent="0.35">
      <c r="A316" t="s">
        <v>386</v>
      </c>
      <c r="B316" s="1">
        <v>45028</v>
      </c>
      <c r="C316" t="s">
        <v>10</v>
      </c>
      <c r="D316" t="s">
        <v>20</v>
      </c>
      <c r="E316" t="s">
        <v>78</v>
      </c>
      <c r="F316">
        <v>3</v>
      </c>
      <c r="G316">
        <v>2868</v>
      </c>
      <c r="H316">
        <v>8604</v>
      </c>
      <c r="I316">
        <v>3007</v>
      </c>
      <c r="J316" t="s">
        <v>22</v>
      </c>
    </row>
    <row r="317" spans="1:10" x14ac:dyDescent="0.35">
      <c r="A317" t="s">
        <v>387</v>
      </c>
      <c r="B317" s="1">
        <v>45022</v>
      </c>
      <c r="C317" t="s">
        <v>30</v>
      </c>
      <c r="D317" t="s">
        <v>20</v>
      </c>
      <c r="E317" t="s">
        <v>102</v>
      </c>
      <c r="F317">
        <v>4</v>
      </c>
      <c r="G317">
        <v>4222</v>
      </c>
      <c r="H317">
        <v>16888</v>
      </c>
      <c r="I317">
        <v>2212</v>
      </c>
      <c r="J317" t="s">
        <v>22</v>
      </c>
    </row>
    <row r="318" spans="1:10" x14ac:dyDescent="0.35">
      <c r="A318" t="s">
        <v>388</v>
      </c>
      <c r="B318" s="1">
        <v>45117</v>
      </c>
      <c r="C318" t="s">
        <v>30</v>
      </c>
      <c r="D318" t="s">
        <v>25</v>
      </c>
      <c r="E318" t="s">
        <v>111</v>
      </c>
      <c r="F318">
        <v>1</v>
      </c>
      <c r="G318">
        <v>4675</v>
      </c>
      <c r="H318">
        <v>4675</v>
      </c>
      <c r="I318">
        <v>664</v>
      </c>
      <c r="J318" t="s">
        <v>13</v>
      </c>
    </row>
    <row r="319" spans="1:10" x14ac:dyDescent="0.35">
      <c r="A319" t="s">
        <v>389</v>
      </c>
      <c r="B319" s="1">
        <v>45172</v>
      </c>
      <c r="C319" t="s">
        <v>24</v>
      </c>
      <c r="D319" t="s">
        <v>11</v>
      </c>
      <c r="E319" t="s">
        <v>365</v>
      </c>
      <c r="F319">
        <v>9</v>
      </c>
      <c r="G319">
        <v>2713</v>
      </c>
      <c r="H319">
        <v>24417</v>
      </c>
      <c r="I319">
        <v>5537</v>
      </c>
      <c r="J319" t="s">
        <v>22</v>
      </c>
    </row>
    <row r="320" spans="1:10" x14ac:dyDescent="0.35">
      <c r="A320" t="s">
        <v>390</v>
      </c>
      <c r="B320" s="1">
        <v>45184</v>
      </c>
      <c r="C320" t="s">
        <v>10</v>
      </c>
      <c r="D320" t="s">
        <v>40</v>
      </c>
      <c r="E320" t="s">
        <v>126</v>
      </c>
      <c r="F320">
        <v>9</v>
      </c>
      <c r="G320">
        <v>1200</v>
      </c>
      <c r="H320">
        <v>10800</v>
      </c>
      <c r="I320">
        <v>1712</v>
      </c>
      <c r="J320" t="s">
        <v>17</v>
      </c>
    </row>
    <row r="321" spans="1:10" x14ac:dyDescent="0.35">
      <c r="A321" t="s">
        <v>391</v>
      </c>
      <c r="B321" s="1">
        <v>45249</v>
      </c>
      <c r="C321" t="s">
        <v>30</v>
      </c>
      <c r="D321" t="s">
        <v>25</v>
      </c>
      <c r="E321" t="s">
        <v>36</v>
      </c>
      <c r="F321">
        <v>3</v>
      </c>
      <c r="G321">
        <v>2295</v>
      </c>
      <c r="H321">
        <v>6885</v>
      </c>
      <c r="I321">
        <v>1151</v>
      </c>
      <c r="J321" t="s">
        <v>17</v>
      </c>
    </row>
    <row r="322" spans="1:10" x14ac:dyDescent="0.35">
      <c r="A322" t="s">
        <v>392</v>
      </c>
      <c r="B322" s="1">
        <v>45268</v>
      </c>
      <c r="C322" t="s">
        <v>19</v>
      </c>
      <c r="D322" t="s">
        <v>15</v>
      </c>
      <c r="E322" t="s">
        <v>51</v>
      </c>
      <c r="F322">
        <v>6</v>
      </c>
      <c r="G322">
        <v>1917</v>
      </c>
      <c r="H322">
        <v>11502</v>
      </c>
      <c r="I322">
        <v>3770</v>
      </c>
      <c r="J322" t="s">
        <v>17</v>
      </c>
    </row>
    <row r="323" spans="1:10" x14ac:dyDescent="0.35">
      <c r="A323" t="s">
        <v>393</v>
      </c>
      <c r="B323" s="1">
        <v>44965</v>
      </c>
      <c r="C323" t="s">
        <v>19</v>
      </c>
      <c r="D323" t="s">
        <v>40</v>
      </c>
      <c r="E323" t="s">
        <v>168</v>
      </c>
      <c r="F323">
        <v>7</v>
      </c>
      <c r="G323">
        <v>2898</v>
      </c>
      <c r="H323">
        <v>20286</v>
      </c>
      <c r="I323">
        <v>6986</v>
      </c>
      <c r="J323" t="s">
        <v>22</v>
      </c>
    </row>
    <row r="324" spans="1:10" x14ac:dyDescent="0.35">
      <c r="A324" t="s">
        <v>394</v>
      </c>
      <c r="B324" s="1">
        <v>45212</v>
      </c>
      <c r="C324" t="s">
        <v>24</v>
      </c>
      <c r="D324" t="s">
        <v>20</v>
      </c>
      <c r="E324" t="s">
        <v>153</v>
      </c>
      <c r="F324">
        <v>9</v>
      </c>
      <c r="G324">
        <v>4530</v>
      </c>
      <c r="H324">
        <v>40770</v>
      </c>
      <c r="I324">
        <v>15766</v>
      </c>
      <c r="J324" t="s">
        <v>17</v>
      </c>
    </row>
    <row r="325" spans="1:10" x14ac:dyDescent="0.35">
      <c r="A325" t="s">
        <v>395</v>
      </c>
      <c r="B325" s="1">
        <v>44959</v>
      </c>
      <c r="C325" t="s">
        <v>10</v>
      </c>
      <c r="D325" t="s">
        <v>11</v>
      </c>
      <c r="E325" t="s">
        <v>168</v>
      </c>
      <c r="F325">
        <v>3</v>
      </c>
      <c r="G325">
        <v>3564</v>
      </c>
      <c r="H325">
        <v>10692</v>
      </c>
      <c r="I325">
        <v>2147</v>
      </c>
      <c r="J325" t="s">
        <v>13</v>
      </c>
    </row>
    <row r="326" spans="1:10" x14ac:dyDescent="0.35">
      <c r="A326" t="s">
        <v>396</v>
      </c>
      <c r="B326" s="1">
        <v>45052</v>
      </c>
      <c r="C326" t="s">
        <v>30</v>
      </c>
      <c r="D326" t="s">
        <v>15</v>
      </c>
      <c r="E326" t="s">
        <v>78</v>
      </c>
      <c r="F326">
        <v>4</v>
      </c>
      <c r="G326">
        <v>3858</v>
      </c>
      <c r="H326">
        <v>15432</v>
      </c>
      <c r="I326">
        <v>2816</v>
      </c>
      <c r="J326" t="s">
        <v>22</v>
      </c>
    </row>
    <row r="327" spans="1:10" x14ac:dyDescent="0.35">
      <c r="A327" t="s">
        <v>397</v>
      </c>
      <c r="B327" s="1">
        <v>45089</v>
      </c>
      <c r="C327" t="s">
        <v>24</v>
      </c>
      <c r="D327" t="s">
        <v>40</v>
      </c>
      <c r="E327" t="s">
        <v>12</v>
      </c>
      <c r="F327">
        <v>5</v>
      </c>
      <c r="G327">
        <v>2691</v>
      </c>
      <c r="H327">
        <v>13455</v>
      </c>
      <c r="I327">
        <v>4274</v>
      </c>
      <c r="J327" t="s">
        <v>22</v>
      </c>
    </row>
    <row r="328" spans="1:10" x14ac:dyDescent="0.35">
      <c r="A328" t="s">
        <v>398</v>
      </c>
      <c r="B328" s="1">
        <v>45071</v>
      </c>
      <c r="C328" t="s">
        <v>10</v>
      </c>
      <c r="D328" t="s">
        <v>11</v>
      </c>
      <c r="E328" t="s">
        <v>55</v>
      </c>
      <c r="F328">
        <v>10</v>
      </c>
      <c r="G328">
        <v>2643</v>
      </c>
      <c r="H328">
        <v>26430</v>
      </c>
      <c r="I328">
        <v>6378</v>
      </c>
      <c r="J328" t="s">
        <v>32</v>
      </c>
    </row>
    <row r="329" spans="1:10" x14ac:dyDescent="0.35">
      <c r="A329" t="s">
        <v>399</v>
      </c>
      <c r="B329" s="1">
        <v>45221</v>
      </c>
      <c r="C329" t="s">
        <v>30</v>
      </c>
      <c r="D329" t="s">
        <v>15</v>
      </c>
      <c r="E329" t="s">
        <v>89</v>
      </c>
      <c r="F329">
        <v>9</v>
      </c>
      <c r="G329">
        <v>3977</v>
      </c>
      <c r="H329">
        <v>35793</v>
      </c>
      <c r="I329">
        <v>6245</v>
      </c>
      <c r="J329" t="s">
        <v>17</v>
      </c>
    </row>
    <row r="330" spans="1:10" x14ac:dyDescent="0.35">
      <c r="A330" t="s">
        <v>400</v>
      </c>
      <c r="B330" s="1">
        <v>45087</v>
      </c>
      <c r="C330" t="s">
        <v>10</v>
      </c>
      <c r="D330" t="s">
        <v>15</v>
      </c>
      <c r="E330" t="s">
        <v>126</v>
      </c>
      <c r="F330">
        <v>2</v>
      </c>
      <c r="G330">
        <v>2139</v>
      </c>
      <c r="H330">
        <v>4278</v>
      </c>
      <c r="I330">
        <v>1631</v>
      </c>
      <c r="J330" t="s">
        <v>22</v>
      </c>
    </row>
    <row r="331" spans="1:10" x14ac:dyDescent="0.35">
      <c r="A331" t="s">
        <v>401</v>
      </c>
      <c r="B331" s="1">
        <v>45249</v>
      </c>
      <c r="C331" t="s">
        <v>10</v>
      </c>
      <c r="D331" t="s">
        <v>20</v>
      </c>
      <c r="E331" t="s">
        <v>137</v>
      </c>
      <c r="F331">
        <v>9</v>
      </c>
      <c r="G331">
        <v>4543</v>
      </c>
      <c r="H331">
        <v>40887</v>
      </c>
      <c r="I331">
        <v>9154</v>
      </c>
      <c r="J331" t="s">
        <v>17</v>
      </c>
    </row>
    <row r="332" spans="1:10" x14ac:dyDescent="0.35">
      <c r="A332" t="s">
        <v>402</v>
      </c>
      <c r="B332" s="1">
        <v>45130</v>
      </c>
      <c r="C332" t="s">
        <v>10</v>
      </c>
      <c r="D332" t="s">
        <v>40</v>
      </c>
      <c r="E332" t="s">
        <v>31</v>
      </c>
      <c r="F332">
        <v>7</v>
      </c>
      <c r="G332">
        <v>1225</v>
      </c>
      <c r="H332">
        <v>8575</v>
      </c>
      <c r="I332">
        <v>3033</v>
      </c>
      <c r="J332" t="s">
        <v>13</v>
      </c>
    </row>
    <row r="333" spans="1:10" x14ac:dyDescent="0.35">
      <c r="A333" t="s">
        <v>403</v>
      </c>
      <c r="B333" s="1">
        <v>44927</v>
      </c>
      <c r="C333" t="s">
        <v>30</v>
      </c>
      <c r="D333" t="s">
        <v>20</v>
      </c>
      <c r="E333" t="s">
        <v>34</v>
      </c>
      <c r="F333">
        <v>6</v>
      </c>
      <c r="G333">
        <v>4447</v>
      </c>
      <c r="H333">
        <v>26682</v>
      </c>
      <c r="I333">
        <v>2910</v>
      </c>
      <c r="J333" t="s">
        <v>17</v>
      </c>
    </row>
    <row r="334" spans="1:10" x14ac:dyDescent="0.35">
      <c r="A334" t="s">
        <v>404</v>
      </c>
      <c r="B334" s="1">
        <v>45267</v>
      </c>
      <c r="C334" t="s">
        <v>24</v>
      </c>
      <c r="D334" t="s">
        <v>15</v>
      </c>
      <c r="E334" t="s">
        <v>151</v>
      </c>
      <c r="F334">
        <v>7</v>
      </c>
      <c r="G334">
        <v>3254</v>
      </c>
      <c r="H334">
        <v>22778</v>
      </c>
      <c r="I334">
        <v>2284</v>
      </c>
      <c r="J334" t="s">
        <v>22</v>
      </c>
    </row>
    <row r="335" spans="1:10" x14ac:dyDescent="0.35">
      <c r="A335" t="s">
        <v>405</v>
      </c>
      <c r="B335" s="1">
        <v>45126</v>
      </c>
      <c r="C335" t="s">
        <v>30</v>
      </c>
      <c r="D335" t="s">
        <v>11</v>
      </c>
      <c r="E335" t="s">
        <v>137</v>
      </c>
      <c r="F335">
        <v>3</v>
      </c>
      <c r="G335">
        <v>2298</v>
      </c>
      <c r="H335">
        <v>6894</v>
      </c>
      <c r="I335">
        <v>1045</v>
      </c>
      <c r="J335" t="s">
        <v>13</v>
      </c>
    </row>
    <row r="336" spans="1:10" x14ac:dyDescent="0.35">
      <c r="A336" t="s">
        <v>406</v>
      </c>
      <c r="B336" s="1">
        <v>44935</v>
      </c>
      <c r="C336" t="s">
        <v>10</v>
      </c>
      <c r="D336" t="s">
        <v>20</v>
      </c>
      <c r="E336" t="s">
        <v>78</v>
      </c>
      <c r="F336">
        <v>8</v>
      </c>
      <c r="G336">
        <v>4079</v>
      </c>
      <c r="H336">
        <v>32632</v>
      </c>
      <c r="I336">
        <v>11411</v>
      </c>
      <c r="J336" t="s">
        <v>22</v>
      </c>
    </row>
    <row r="337" spans="1:10" x14ac:dyDescent="0.35">
      <c r="A337" t="s">
        <v>407</v>
      </c>
      <c r="B337" s="1">
        <v>45096</v>
      </c>
      <c r="C337" t="s">
        <v>10</v>
      </c>
      <c r="D337" t="s">
        <v>25</v>
      </c>
      <c r="E337" t="s">
        <v>16</v>
      </c>
      <c r="F337">
        <v>6</v>
      </c>
      <c r="G337">
        <v>3924</v>
      </c>
      <c r="H337">
        <v>23544</v>
      </c>
      <c r="I337">
        <v>4102</v>
      </c>
      <c r="J337" t="s">
        <v>32</v>
      </c>
    </row>
    <row r="338" spans="1:10" x14ac:dyDescent="0.35">
      <c r="A338" t="s">
        <v>408</v>
      </c>
      <c r="B338" s="1">
        <v>44983</v>
      </c>
      <c r="C338" t="s">
        <v>24</v>
      </c>
      <c r="D338" t="s">
        <v>15</v>
      </c>
      <c r="E338" t="s">
        <v>74</v>
      </c>
      <c r="F338">
        <v>3</v>
      </c>
      <c r="G338">
        <v>3759</v>
      </c>
      <c r="H338">
        <v>11277</v>
      </c>
      <c r="I338">
        <v>3605</v>
      </c>
      <c r="J338" t="s">
        <v>13</v>
      </c>
    </row>
    <row r="339" spans="1:10" x14ac:dyDescent="0.35">
      <c r="A339" t="s">
        <v>409</v>
      </c>
      <c r="B339" s="1">
        <v>45082</v>
      </c>
      <c r="C339" t="s">
        <v>30</v>
      </c>
      <c r="D339" t="s">
        <v>20</v>
      </c>
      <c r="E339" t="s">
        <v>123</v>
      </c>
      <c r="F339">
        <v>2</v>
      </c>
      <c r="G339">
        <v>3897</v>
      </c>
      <c r="H339">
        <v>7794</v>
      </c>
      <c r="I339">
        <v>2690</v>
      </c>
      <c r="J339" t="s">
        <v>32</v>
      </c>
    </row>
    <row r="340" spans="1:10" x14ac:dyDescent="0.35">
      <c r="A340" t="s">
        <v>410</v>
      </c>
      <c r="B340" s="1">
        <v>45044</v>
      </c>
      <c r="C340" t="s">
        <v>24</v>
      </c>
      <c r="D340" t="s">
        <v>11</v>
      </c>
      <c r="E340" t="s">
        <v>102</v>
      </c>
      <c r="F340">
        <v>8</v>
      </c>
      <c r="G340">
        <v>1706</v>
      </c>
      <c r="H340">
        <v>13648</v>
      </c>
      <c r="I340">
        <v>2136</v>
      </c>
      <c r="J340" t="s">
        <v>17</v>
      </c>
    </row>
    <row r="341" spans="1:10" x14ac:dyDescent="0.35">
      <c r="A341" t="s">
        <v>411</v>
      </c>
      <c r="B341" s="1">
        <v>45087</v>
      </c>
      <c r="C341" t="s">
        <v>30</v>
      </c>
      <c r="D341" t="s">
        <v>11</v>
      </c>
      <c r="E341" t="s">
        <v>64</v>
      </c>
      <c r="F341">
        <v>1</v>
      </c>
      <c r="G341">
        <v>777</v>
      </c>
      <c r="H341">
        <v>777</v>
      </c>
      <c r="I341">
        <v>290</v>
      </c>
      <c r="J341" t="s">
        <v>22</v>
      </c>
    </row>
    <row r="342" spans="1:10" x14ac:dyDescent="0.35">
      <c r="A342" t="s">
        <v>412</v>
      </c>
      <c r="B342" s="1">
        <v>45090</v>
      </c>
      <c r="C342" t="s">
        <v>19</v>
      </c>
      <c r="D342" t="s">
        <v>40</v>
      </c>
      <c r="E342" t="s">
        <v>38</v>
      </c>
      <c r="F342">
        <v>3</v>
      </c>
      <c r="G342">
        <v>1346</v>
      </c>
      <c r="H342">
        <v>4038</v>
      </c>
      <c r="I342">
        <v>612</v>
      </c>
      <c r="J342" t="s">
        <v>32</v>
      </c>
    </row>
    <row r="343" spans="1:10" x14ac:dyDescent="0.35">
      <c r="A343" t="s">
        <v>413</v>
      </c>
      <c r="B343" s="1">
        <v>44959</v>
      </c>
      <c r="C343" t="s">
        <v>30</v>
      </c>
      <c r="D343" t="s">
        <v>11</v>
      </c>
      <c r="E343" t="s">
        <v>89</v>
      </c>
      <c r="F343">
        <v>7</v>
      </c>
      <c r="G343">
        <v>2869</v>
      </c>
      <c r="H343">
        <v>20083</v>
      </c>
      <c r="I343">
        <v>7810</v>
      </c>
      <c r="J343" t="s">
        <v>22</v>
      </c>
    </row>
    <row r="344" spans="1:10" x14ac:dyDescent="0.35">
      <c r="A344" t="s">
        <v>414</v>
      </c>
      <c r="B344" s="1">
        <v>45205</v>
      </c>
      <c r="C344" t="s">
        <v>30</v>
      </c>
      <c r="D344" t="s">
        <v>25</v>
      </c>
      <c r="E344" t="s">
        <v>68</v>
      </c>
      <c r="F344">
        <v>4</v>
      </c>
      <c r="G344">
        <v>3765</v>
      </c>
      <c r="H344">
        <v>15060</v>
      </c>
      <c r="I344">
        <v>2595</v>
      </c>
      <c r="J344" t="s">
        <v>13</v>
      </c>
    </row>
    <row r="345" spans="1:10" x14ac:dyDescent="0.35">
      <c r="A345" t="s">
        <v>415</v>
      </c>
      <c r="B345" s="1">
        <v>45020</v>
      </c>
      <c r="C345" t="s">
        <v>24</v>
      </c>
      <c r="D345" t="s">
        <v>40</v>
      </c>
      <c r="E345" t="s">
        <v>71</v>
      </c>
      <c r="F345">
        <v>9</v>
      </c>
      <c r="G345">
        <v>521</v>
      </c>
      <c r="H345">
        <v>4689</v>
      </c>
      <c r="I345">
        <v>1768</v>
      </c>
      <c r="J345" t="s">
        <v>13</v>
      </c>
    </row>
    <row r="346" spans="1:10" x14ac:dyDescent="0.35">
      <c r="A346" t="s">
        <v>416</v>
      </c>
      <c r="B346" s="1">
        <v>45161</v>
      </c>
      <c r="C346" t="s">
        <v>24</v>
      </c>
      <c r="D346" t="s">
        <v>25</v>
      </c>
      <c r="E346" t="s">
        <v>58</v>
      </c>
      <c r="F346">
        <v>6</v>
      </c>
      <c r="G346">
        <v>3202</v>
      </c>
      <c r="H346">
        <v>19212</v>
      </c>
      <c r="I346">
        <v>3919</v>
      </c>
      <c r="J346" t="s">
        <v>13</v>
      </c>
    </row>
    <row r="347" spans="1:10" x14ac:dyDescent="0.35">
      <c r="A347" t="s">
        <v>417</v>
      </c>
      <c r="B347" s="1">
        <v>45016</v>
      </c>
      <c r="C347" t="s">
        <v>19</v>
      </c>
      <c r="D347" t="s">
        <v>20</v>
      </c>
      <c r="E347" t="s">
        <v>78</v>
      </c>
      <c r="F347">
        <v>1</v>
      </c>
      <c r="G347">
        <v>3192</v>
      </c>
      <c r="H347">
        <v>3192</v>
      </c>
      <c r="I347">
        <v>1026</v>
      </c>
      <c r="J347" t="s">
        <v>32</v>
      </c>
    </row>
    <row r="348" spans="1:10" x14ac:dyDescent="0.35">
      <c r="A348" t="s">
        <v>418</v>
      </c>
      <c r="B348" s="1">
        <v>45224</v>
      </c>
      <c r="C348" t="s">
        <v>19</v>
      </c>
      <c r="D348" t="s">
        <v>20</v>
      </c>
      <c r="E348" t="s">
        <v>365</v>
      </c>
      <c r="F348">
        <v>5</v>
      </c>
      <c r="G348">
        <v>4899</v>
      </c>
      <c r="H348">
        <v>24495</v>
      </c>
      <c r="I348">
        <v>5898</v>
      </c>
      <c r="J348" t="s">
        <v>32</v>
      </c>
    </row>
    <row r="349" spans="1:10" x14ac:dyDescent="0.35">
      <c r="A349" t="s">
        <v>419</v>
      </c>
      <c r="B349" s="1">
        <v>45129</v>
      </c>
      <c r="C349" t="s">
        <v>24</v>
      </c>
      <c r="D349" t="s">
        <v>40</v>
      </c>
      <c r="E349" t="s">
        <v>78</v>
      </c>
      <c r="F349">
        <v>9</v>
      </c>
      <c r="G349">
        <v>1871</v>
      </c>
      <c r="H349">
        <v>16839</v>
      </c>
      <c r="I349">
        <v>3813</v>
      </c>
      <c r="J349" t="s">
        <v>13</v>
      </c>
    </row>
    <row r="350" spans="1:10" x14ac:dyDescent="0.35">
      <c r="A350" t="s">
        <v>420</v>
      </c>
      <c r="B350" s="1">
        <v>45083</v>
      </c>
      <c r="C350" t="s">
        <v>10</v>
      </c>
      <c r="D350" t="s">
        <v>40</v>
      </c>
      <c r="E350" t="s">
        <v>151</v>
      </c>
      <c r="F350">
        <v>7</v>
      </c>
      <c r="G350">
        <v>683</v>
      </c>
      <c r="H350">
        <v>4781</v>
      </c>
      <c r="I350">
        <v>1021</v>
      </c>
      <c r="J350" t="s">
        <v>32</v>
      </c>
    </row>
    <row r="351" spans="1:10" x14ac:dyDescent="0.35">
      <c r="A351" t="s">
        <v>421</v>
      </c>
      <c r="B351" s="1">
        <v>44928</v>
      </c>
      <c r="C351" t="s">
        <v>30</v>
      </c>
      <c r="D351" t="s">
        <v>25</v>
      </c>
      <c r="E351" t="s">
        <v>153</v>
      </c>
      <c r="F351">
        <v>4</v>
      </c>
      <c r="G351">
        <v>4374</v>
      </c>
      <c r="H351">
        <v>17496</v>
      </c>
      <c r="I351">
        <v>5949</v>
      </c>
      <c r="J351" t="s">
        <v>13</v>
      </c>
    </row>
    <row r="352" spans="1:10" x14ac:dyDescent="0.35">
      <c r="A352" t="s">
        <v>422</v>
      </c>
      <c r="B352" s="1">
        <v>45194</v>
      </c>
      <c r="C352" t="s">
        <v>19</v>
      </c>
      <c r="D352" t="s">
        <v>20</v>
      </c>
      <c r="E352" t="s">
        <v>71</v>
      </c>
      <c r="F352">
        <v>3</v>
      </c>
      <c r="G352">
        <v>2968</v>
      </c>
      <c r="H352">
        <v>8904</v>
      </c>
      <c r="I352">
        <v>1261</v>
      </c>
      <c r="J352" t="s">
        <v>13</v>
      </c>
    </row>
    <row r="353" spans="1:10" x14ac:dyDescent="0.35">
      <c r="A353" t="s">
        <v>423</v>
      </c>
      <c r="B353" s="1">
        <v>44939</v>
      </c>
      <c r="C353" t="s">
        <v>19</v>
      </c>
      <c r="D353" t="s">
        <v>15</v>
      </c>
      <c r="E353" t="s">
        <v>92</v>
      </c>
      <c r="F353">
        <v>9</v>
      </c>
      <c r="G353">
        <v>3162</v>
      </c>
      <c r="H353">
        <v>28458</v>
      </c>
      <c r="I353">
        <v>6650</v>
      </c>
      <c r="J353" t="s">
        <v>13</v>
      </c>
    </row>
    <row r="354" spans="1:10" x14ac:dyDescent="0.35">
      <c r="A354" t="s">
        <v>424</v>
      </c>
      <c r="B354" s="1">
        <v>45069</v>
      </c>
      <c r="C354" t="s">
        <v>30</v>
      </c>
      <c r="D354" t="s">
        <v>11</v>
      </c>
      <c r="E354" t="s">
        <v>113</v>
      </c>
      <c r="F354">
        <v>1</v>
      </c>
      <c r="G354">
        <v>3424</v>
      </c>
      <c r="H354">
        <v>3424</v>
      </c>
      <c r="I354">
        <v>343</v>
      </c>
      <c r="J354" t="s">
        <v>22</v>
      </c>
    </row>
    <row r="355" spans="1:10" x14ac:dyDescent="0.35">
      <c r="A355" t="s">
        <v>425</v>
      </c>
      <c r="B355" s="1">
        <v>45149</v>
      </c>
      <c r="C355" t="s">
        <v>30</v>
      </c>
      <c r="D355" t="s">
        <v>11</v>
      </c>
      <c r="E355" t="s">
        <v>21</v>
      </c>
      <c r="F355">
        <v>9</v>
      </c>
      <c r="G355">
        <v>3415</v>
      </c>
      <c r="H355">
        <v>30735</v>
      </c>
      <c r="I355">
        <v>11970</v>
      </c>
      <c r="J355" t="s">
        <v>22</v>
      </c>
    </row>
    <row r="356" spans="1:10" x14ac:dyDescent="0.35">
      <c r="A356" t="s">
        <v>426</v>
      </c>
      <c r="B356" s="1">
        <v>45059</v>
      </c>
      <c r="C356" t="s">
        <v>10</v>
      </c>
      <c r="D356" t="s">
        <v>20</v>
      </c>
      <c r="E356" t="s">
        <v>365</v>
      </c>
      <c r="F356">
        <v>9</v>
      </c>
      <c r="G356">
        <v>3975</v>
      </c>
      <c r="H356">
        <v>35775</v>
      </c>
      <c r="I356">
        <v>9086</v>
      </c>
      <c r="J356" t="s">
        <v>32</v>
      </c>
    </row>
    <row r="357" spans="1:10" x14ac:dyDescent="0.35">
      <c r="A357" t="s">
        <v>427</v>
      </c>
      <c r="B357" s="1">
        <v>45069</v>
      </c>
      <c r="C357" t="s">
        <v>10</v>
      </c>
      <c r="D357" t="s">
        <v>25</v>
      </c>
      <c r="E357" t="s">
        <v>26</v>
      </c>
      <c r="F357">
        <v>1</v>
      </c>
      <c r="G357">
        <v>3435</v>
      </c>
      <c r="H357">
        <v>3435</v>
      </c>
      <c r="I357">
        <v>751</v>
      </c>
      <c r="J357" t="s">
        <v>22</v>
      </c>
    </row>
    <row r="358" spans="1:10" x14ac:dyDescent="0.35">
      <c r="A358" t="s">
        <v>428</v>
      </c>
      <c r="B358" s="1">
        <v>45107</v>
      </c>
      <c r="C358" t="s">
        <v>24</v>
      </c>
      <c r="D358" t="s">
        <v>20</v>
      </c>
      <c r="E358" t="s">
        <v>34</v>
      </c>
      <c r="F358">
        <v>10</v>
      </c>
      <c r="G358">
        <v>1805</v>
      </c>
      <c r="H358">
        <v>18050</v>
      </c>
      <c r="I358">
        <v>2869</v>
      </c>
      <c r="J358" t="s">
        <v>22</v>
      </c>
    </row>
    <row r="359" spans="1:10" x14ac:dyDescent="0.35">
      <c r="A359" t="s">
        <v>429</v>
      </c>
      <c r="B359" s="1">
        <v>45083</v>
      </c>
      <c r="C359" t="s">
        <v>30</v>
      </c>
      <c r="D359" t="s">
        <v>40</v>
      </c>
      <c r="E359" t="s">
        <v>78</v>
      </c>
      <c r="F359">
        <v>8</v>
      </c>
      <c r="G359">
        <v>2009</v>
      </c>
      <c r="H359">
        <v>16072</v>
      </c>
      <c r="I359">
        <v>2671</v>
      </c>
      <c r="J359" t="s">
        <v>32</v>
      </c>
    </row>
    <row r="360" spans="1:10" x14ac:dyDescent="0.35">
      <c r="A360" t="s">
        <v>430</v>
      </c>
      <c r="B360" s="1">
        <v>44967</v>
      </c>
      <c r="C360" t="s">
        <v>30</v>
      </c>
      <c r="D360" t="s">
        <v>11</v>
      </c>
      <c r="E360" t="s">
        <v>26</v>
      </c>
      <c r="F360">
        <v>2</v>
      </c>
      <c r="G360">
        <v>4671</v>
      </c>
      <c r="H360">
        <v>9342</v>
      </c>
      <c r="I360">
        <v>2016</v>
      </c>
      <c r="J360" t="s">
        <v>17</v>
      </c>
    </row>
    <row r="361" spans="1:10" x14ac:dyDescent="0.35">
      <c r="A361" t="s">
        <v>431</v>
      </c>
      <c r="B361" s="1">
        <v>45041</v>
      </c>
      <c r="C361" t="s">
        <v>24</v>
      </c>
      <c r="D361" t="s">
        <v>11</v>
      </c>
      <c r="E361" t="s">
        <v>48</v>
      </c>
      <c r="F361">
        <v>6</v>
      </c>
      <c r="G361">
        <v>558</v>
      </c>
      <c r="H361">
        <v>3348</v>
      </c>
      <c r="I361">
        <v>456</v>
      </c>
      <c r="J361" t="s">
        <v>32</v>
      </c>
    </row>
    <row r="362" spans="1:10" x14ac:dyDescent="0.35">
      <c r="A362" t="s">
        <v>432</v>
      </c>
      <c r="B362" s="1">
        <v>45194</v>
      </c>
      <c r="C362" t="s">
        <v>10</v>
      </c>
      <c r="D362" t="s">
        <v>25</v>
      </c>
      <c r="E362" t="s">
        <v>130</v>
      </c>
      <c r="F362">
        <v>6</v>
      </c>
      <c r="G362">
        <v>2072</v>
      </c>
      <c r="H362">
        <v>12432</v>
      </c>
      <c r="I362">
        <v>2786</v>
      </c>
      <c r="J362" t="s">
        <v>22</v>
      </c>
    </row>
    <row r="363" spans="1:10" x14ac:dyDescent="0.35">
      <c r="A363" t="s">
        <v>433</v>
      </c>
      <c r="B363" s="1">
        <v>44986</v>
      </c>
      <c r="C363" t="s">
        <v>19</v>
      </c>
      <c r="D363" t="s">
        <v>40</v>
      </c>
      <c r="E363" t="s">
        <v>71</v>
      </c>
      <c r="F363">
        <v>9</v>
      </c>
      <c r="G363">
        <v>3916</v>
      </c>
      <c r="H363">
        <v>35244</v>
      </c>
      <c r="I363">
        <v>11775</v>
      </c>
      <c r="J363" t="s">
        <v>32</v>
      </c>
    </row>
    <row r="364" spans="1:10" x14ac:dyDescent="0.35">
      <c r="A364" t="s">
        <v>434</v>
      </c>
      <c r="B364" s="1">
        <v>45135</v>
      </c>
      <c r="C364" t="s">
        <v>24</v>
      </c>
      <c r="D364" t="s">
        <v>20</v>
      </c>
      <c r="E364" t="s">
        <v>218</v>
      </c>
      <c r="F364">
        <v>9</v>
      </c>
      <c r="G364">
        <v>1347</v>
      </c>
      <c r="H364">
        <v>12123</v>
      </c>
      <c r="I364">
        <v>2245</v>
      </c>
      <c r="J364" t="s">
        <v>32</v>
      </c>
    </row>
    <row r="365" spans="1:10" x14ac:dyDescent="0.35">
      <c r="A365" t="s">
        <v>435</v>
      </c>
      <c r="B365" s="1">
        <v>45282</v>
      </c>
      <c r="C365" t="s">
        <v>30</v>
      </c>
      <c r="D365" t="s">
        <v>15</v>
      </c>
      <c r="E365" t="s">
        <v>208</v>
      </c>
      <c r="F365">
        <v>5</v>
      </c>
      <c r="G365">
        <v>4376</v>
      </c>
      <c r="H365">
        <v>21880</v>
      </c>
      <c r="I365">
        <v>5148</v>
      </c>
      <c r="J365" t="s">
        <v>22</v>
      </c>
    </row>
    <row r="366" spans="1:10" x14ac:dyDescent="0.35">
      <c r="A366" t="s">
        <v>436</v>
      </c>
      <c r="B366" s="1">
        <v>45082</v>
      </c>
      <c r="C366" t="s">
        <v>24</v>
      </c>
      <c r="D366" t="s">
        <v>15</v>
      </c>
      <c r="E366" t="s">
        <v>71</v>
      </c>
      <c r="F366">
        <v>8</v>
      </c>
      <c r="G366">
        <v>4334</v>
      </c>
      <c r="H366">
        <v>34672</v>
      </c>
      <c r="I366">
        <v>10258</v>
      </c>
      <c r="J366" t="s">
        <v>13</v>
      </c>
    </row>
    <row r="367" spans="1:10" x14ac:dyDescent="0.35">
      <c r="A367" t="s">
        <v>437</v>
      </c>
      <c r="B367" s="1">
        <v>45278</v>
      </c>
      <c r="C367" t="s">
        <v>19</v>
      </c>
      <c r="D367" t="s">
        <v>15</v>
      </c>
      <c r="E367" t="s">
        <v>46</v>
      </c>
      <c r="F367">
        <v>10</v>
      </c>
      <c r="G367">
        <v>1844</v>
      </c>
      <c r="H367">
        <v>18440</v>
      </c>
      <c r="I367">
        <v>6765</v>
      </c>
      <c r="J367" t="s">
        <v>17</v>
      </c>
    </row>
    <row r="368" spans="1:10" x14ac:dyDescent="0.35">
      <c r="A368" t="s">
        <v>438</v>
      </c>
      <c r="B368" s="1">
        <v>45140</v>
      </c>
      <c r="C368" t="s">
        <v>19</v>
      </c>
      <c r="D368" t="s">
        <v>25</v>
      </c>
      <c r="E368" t="s">
        <v>126</v>
      </c>
      <c r="F368">
        <v>5</v>
      </c>
      <c r="G368">
        <v>3748</v>
      </c>
      <c r="H368">
        <v>18740</v>
      </c>
      <c r="I368">
        <v>3436</v>
      </c>
      <c r="J368" t="s">
        <v>13</v>
      </c>
    </row>
    <row r="369" spans="1:10" x14ac:dyDescent="0.35">
      <c r="A369" t="s">
        <v>439</v>
      </c>
      <c r="B369" s="1">
        <v>45254</v>
      </c>
      <c r="C369" t="s">
        <v>24</v>
      </c>
      <c r="D369" t="s">
        <v>25</v>
      </c>
      <c r="E369" t="s">
        <v>208</v>
      </c>
      <c r="F369">
        <v>4</v>
      </c>
      <c r="G369">
        <v>4118</v>
      </c>
      <c r="H369">
        <v>16472</v>
      </c>
      <c r="I369">
        <v>2440</v>
      </c>
      <c r="J369" t="s">
        <v>13</v>
      </c>
    </row>
    <row r="370" spans="1:10" x14ac:dyDescent="0.35">
      <c r="A370" t="s">
        <v>440</v>
      </c>
      <c r="B370" s="1">
        <v>45186</v>
      </c>
      <c r="C370" t="s">
        <v>19</v>
      </c>
      <c r="D370" t="s">
        <v>25</v>
      </c>
      <c r="E370" t="s">
        <v>302</v>
      </c>
      <c r="F370">
        <v>2</v>
      </c>
      <c r="G370">
        <v>1187</v>
      </c>
      <c r="H370">
        <v>2374</v>
      </c>
      <c r="I370">
        <v>352</v>
      </c>
      <c r="J370" t="s">
        <v>22</v>
      </c>
    </row>
    <row r="371" spans="1:10" x14ac:dyDescent="0.35">
      <c r="A371" t="s">
        <v>441</v>
      </c>
      <c r="B371" s="1">
        <v>45201</v>
      </c>
      <c r="C371" t="s">
        <v>19</v>
      </c>
      <c r="D371" t="s">
        <v>20</v>
      </c>
      <c r="E371" t="s">
        <v>149</v>
      </c>
      <c r="F371">
        <v>3</v>
      </c>
      <c r="G371">
        <v>2240</v>
      </c>
      <c r="H371">
        <v>6720</v>
      </c>
      <c r="I371">
        <v>2126</v>
      </c>
      <c r="J371" t="s">
        <v>22</v>
      </c>
    </row>
    <row r="372" spans="1:10" x14ac:dyDescent="0.35">
      <c r="A372" t="s">
        <v>442</v>
      </c>
      <c r="B372" s="1">
        <v>45031</v>
      </c>
      <c r="C372" t="s">
        <v>10</v>
      </c>
      <c r="D372" t="s">
        <v>25</v>
      </c>
      <c r="E372" t="s">
        <v>31</v>
      </c>
      <c r="F372">
        <v>9</v>
      </c>
      <c r="G372">
        <v>1185</v>
      </c>
      <c r="H372">
        <v>10665</v>
      </c>
      <c r="I372">
        <v>3406</v>
      </c>
      <c r="J372" t="s">
        <v>13</v>
      </c>
    </row>
    <row r="373" spans="1:10" x14ac:dyDescent="0.35">
      <c r="A373" t="s">
        <v>443</v>
      </c>
      <c r="B373" s="1">
        <v>45015</v>
      </c>
      <c r="C373" t="s">
        <v>30</v>
      </c>
      <c r="D373" t="s">
        <v>20</v>
      </c>
      <c r="E373" t="s">
        <v>302</v>
      </c>
      <c r="F373">
        <v>2</v>
      </c>
      <c r="G373">
        <v>3806</v>
      </c>
      <c r="H373">
        <v>7612</v>
      </c>
      <c r="I373">
        <v>959</v>
      </c>
      <c r="J373" t="s">
        <v>17</v>
      </c>
    </row>
    <row r="374" spans="1:10" x14ac:dyDescent="0.35">
      <c r="A374" t="s">
        <v>444</v>
      </c>
      <c r="B374" s="1">
        <v>45168</v>
      </c>
      <c r="C374" t="s">
        <v>30</v>
      </c>
      <c r="D374" t="s">
        <v>40</v>
      </c>
      <c r="E374" t="s">
        <v>179</v>
      </c>
      <c r="F374">
        <v>1</v>
      </c>
      <c r="G374">
        <v>4916</v>
      </c>
      <c r="H374">
        <v>4916</v>
      </c>
      <c r="I374">
        <v>1541</v>
      </c>
      <c r="J374" t="s">
        <v>17</v>
      </c>
    </row>
    <row r="375" spans="1:10" x14ac:dyDescent="0.35">
      <c r="A375" t="s">
        <v>445</v>
      </c>
      <c r="B375" s="1">
        <v>45273</v>
      </c>
      <c r="C375" t="s">
        <v>30</v>
      </c>
      <c r="D375" t="s">
        <v>20</v>
      </c>
      <c r="E375" t="s">
        <v>43</v>
      </c>
      <c r="F375">
        <v>9</v>
      </c>
      <c r="G375">
        <v>2955</v>
      </c>
      <c r="H375">
        <v>26595</v>
      </c>
      <c r="I375">
        <v>5077</v>
      </c>
      <c r="J375" t="s">
        <v>17</v>
      </c>
    </row>
    <row r="376" spans="1:10" x14ac:dyDescent="0.35">
      <c r="A376" t="s">
        <v>446</v>
      </c>
      <c r="B376" s="1">
        <v>45135</v>
      </c>
      <c r="C376" t="s">
        <v>19</v>
      </c>
      <c r="D376" t="s">
        <v>25</v>
      </c>
      <c r="E376" t="s">
        <v>53</v>
      </c>
      <c r="F376">
        <v>2</v>
      </c>
      <c r="G376">
        <v>1451</v>
      </c>
      <c r="H376">
        <v>2902</v>
      </c>
      <c r="I376">
        <v>463</v>
      </c>
      <c r="J376" t="s">
        <v>22</v>
      </c>
    </row>
    <row r="377" spans="1:10" x14ac:dyDescent="0.35">
      <c r="A377" t="s">
        <v>447</v>
      </c>
      <c r="B377" s="1">
        <v>45190</v>
      </c>
      <c r="C377" t="s">
        <v>19</v>
      </c>
      <c r="D377" t="s">
        <v>11</v>
      </c>
      <c r="E377" t="s">
        <v>123</v>
      </c>
      <c r="F377">
        <v>10</v>
      </c>
      <c r="G377">
        <v>4091</v>
      </c>
      <c r="H377">
        <v>40910</v>
      </c>
      <c r="I377">
        <v>14410</v>
      </c>
      <c r="J377" t="s">
        <v>32</v>
      </c>
    </row>
    <row r="378" spans="1:10" x14ac:dyDescent="0.35">
      <c r="A378" t="s">
        <v>448</v>
      </c>
      <c r="B378" s="1">
        <v>45076</v>
      </c>
      <c r="C378" t="s">
        <v>24</v>
      </c>
      <c r="D378" t="s">
        <v>40</v>
      </c>
      <c r="E378" t="s">
        <v>92</v>
      </c>
      <c r="F378">
        <v>5</v>
      </c>
      <c r="G378">
        <v>1176</v>
      </c>
      <c r="H378">
        <v>5880</v>
      </c>
      <c r="I378">
        <v>1768</v>
      </c>
      <c r="J378" t="s">
        <v>17</v>
      </c>
    </row>
    <row r="379" spans="1:10" x14ac:dyDescent="0.35">
      <c r="A379" t="s">
        <v>449</v>
      </c>
      <c r="B379" s="1">
        <v>45171</v>
      </c>
      <c r="C379" t="s">
        <v>19</v>
      </c>
      <c r="D379" t="s">
        <v>25</v>
      </c>
      <c r="E379" t="s">
        <v>128</v>
      </c>
      <c r="F379">
        <v>2</v>
      </c>
      <c r="G379">
        <v>4872</v>
      </c>
      <c r="H379">
        <v>9744</v>
      </c>
      <c r="I379">
        <v>1409</v>
      </c>
      <c r="J379" t="s">
        <v>13</v>
      </c>
    </row>
    <row r="380" spans="1:10" x14ac:dyDescent="0.35">
      <c r="A380" t="s">
        <v>450</v>
      </c>
      <c r="B380" s="1">
        <v>45292</v>
      </c>
      <c r="C380" t="s">
        <v>24</v>
      </c>
      <c r="D380" t="s">
        <v>40</v>
      </c>
      <c r="E380" t="s">
        <v>38</v>
      </c>
      <c r="F380">
        <v>3</v>
      </c>
      <c r="G380">
        <v>3243</v>
      </c>
      <c r="H380">
        <v>9729</v>
      </c>
      <c r="I380">
        <v>2774</v>
      </c>
      <c r="J380" t="s">
        <v>22</v>
      </c>
    </row>
    <row r="381" spans="1:10" x14ac:dyDescent="0.35">
      <c r="A381" t="s">
        <v>451</v>
      </c>
      <c r="B381" s="1">
        <v>45080</v>
      </c>
      <c r="C381" t="s">
        <v>19</v>
      </c>
      <c r="D381" t="s">
        <v>15</v>
      </c>
      <c r="E381" t="s">
        <v>168</v>
      </c>
      <c r="F381">
        <v>7</v>
      </c>
      <c r="G381">
        <v>3682</v>
      </c>
      <c r="H381">
        <v>25774</v>
      </c>
      <c r="I381">
        <v>3031</v>
      </c>
      <c r="J381" t="s">
        <v>22</v>
      </c>
    </row>
    <row r="382" spans="1:10" x14ac:dyDescent="0.35">
      <c r="A382" t="s">
        <v>452</v>
      </c>
      <c r="B382" s="1">
        <v>45177</v>
      </c>
      <c r="C382" t="s">
        <v>30</v>
      </c>
      <c r="D382" t="s">
        <v>15</v>
      </c>
      <c r="E382" t="s">
        <v>48</v>
      </c>
      <c r="F382">
        <v>6</v>
      </c>
      <c r="G382">
        <v>1114</v>
      </c>
      <c r="H382">
        <v>6684</v>
      </c>
      <c r="I382">
        <v>1701</v>
      </c>
      <c r="J382" t="s">
        <v>13</v>
      </c>
    </row>
    <row r="383" spans="1:10" x14ac:dyDescent="0.35">
      <c r="A383" t="s">
        <v>453</v>
      </c>
      <c r="B383" s="1">
        <v>45265</v>
      </c>
      <c r="C383" t="s">
        <v>19</v>
      </c>
      <c r="D383" t="s">
        <v>25</v>
      </c>
      <c r="E383" t="s">
        <v>12</v>
      </c>
      <c r="F383">
        <v>10</v>
      </c>
      <c r="G383">
        <v>2090</v>
      </c>
      <c r="H383">
        <v>20900</v>
      </c>
      <c r="I383">
        <v>2146</v>
      </c>
      <c r="J383" t="s">
        <v>22</v>
      </c>
    </row>
    <row r="384" spans="1:10" x14ac:dyDescent="0.35">
      <c r="A384" t="s">
        <v>454</v>
      </c>
      <c r="B384" s="1">
        <v>45281</v>
      </c>
      <c r="C384" t="s">
        <v>24</v>
      </c>
      <c r="D384" t="s">
        <v>20</v>
      </c>
      <c r="E384" t="s">
        <v>71</v>
      </c>
      <c r="F384">
        <v>1</v>
      </c>
      <c r="G384">
        <v>2609</v>
      </c>
      <c r="H384">
        <v>2609</v>
      </c>
      <c r="I384">
        <v>646</v>
      </c>
      <c r="J384" t="s">
        <v>13</v>
      </c>
    </row>
    <row r="385" spans="1:10" x14ac:dyDescent="0.35">
      <c r="A385" t="s">
        <v>455</v>
      </c>
      <c r="B385" s="1">
        <v>45143</v>
      </c>
      <c r="C385" t="s">
        <v>19</v>
      </c>
      <c r="D385" t="s">
        <v>20</v>
      </c>
      <c r="E385" t="s">
        <v>118</v>
      </c>
      <c r="F385">
        <v>4</v>
      </c>
      <c r="G385">
        <v>3767</v>
      </c>
      <c r="H385">
        <v>15068</v>
      </c>
      <c r="I385">
        <v>5459</v>
      </c>
      <c r="J385" t="s">
        <v>13</v>
      </c>
    </row>
    <row r="386" spans="1:10" x14ac:dyDescent="0.35">
      <c r="A386" t="s">
        <v>456</v>
      </c>
      <c r="B386" s="1">
        <v>45223</v>
      </c>
      <c r="C386" t="s">
        <v>10</v>
      </c>
      <c r="D386" t="s">
        <v>40</v>
      </c>
      <c r="E386" t="s">
        <v>179</v>
      </c>
      <c r="F386">
        <v>4</v>
      </c>
      <c r="G386">
        <v>1186</v>
      </c>
      <c r="H386">
        <v>4744</v>
      </c>
      <c r="I386">
        <v>1071</v>
      </c>
      <c r="J386" t="s">
        <v>22</v>
      </c>
    </row>
    <row r="387" spans="1:10" x14ac:dyDescent="0.35">
      <c r="A387" t="s">
        <v>457</v>
      </c>
      <c r="B387" s="1">
        <v>45160</v>
      </c>
      <c r="C387" t="s">
        <v>19</v>
      </c>
      <c r="D387" t="s">
        <v>15</v>
      </c>
      <c r="E387" t="s">
        <v>74</v>
      </c>
      <c r="F387">
        <v>9</v>
      </c>
      <c r="G387">
        <v>3354</v>
      </c>
      <c r="H387">
        <v>30186</v>
      </c>
      <c r="I387">
        <v>5006</v>
      </c>
      <c r="J387" t="s">
        <v>13</v>
      </c>
    </row>
    <row r="388" spans="1:10" x14ac:dyDescent="0.35">
      <c r="A388" t="s">
        <v>458</v>
      </c>
      <c r="B388" s="1">
        <v>45241</v>
      </c>
      <c r="C388" t="s">
        <v>24</v>
      </c>
      <c r="D388" t="s">
        <v>15</v>
      </c>
      <c r="E388" t="s">
        <v>21</v>
      </c>
      <c r="F388">
        <v>8</v>
      </c>
      <c r="G388">
        <v>2562</v>
      </c>
      <c r="H388">
        <v>20496</v>
      </c>
      <c r="I388">
        <v>2747</v>
      </c>
      <c r="J388" t="s">
        <v>13</v>
      </c>
    </row>
    <row r="389" spans="1:10" x14ac:dyDescent="0.35">
      <c r="A389" t="s">
        <v>459</v>
      </c>
      <c r="B389" s="1">
        <v>45268</v>
      </c>
      <c r="C389" t="s">
        <v>10</v>
      </c>
      <c r="D389" t="s">
        <v>25</v>
      </c>
      <c r="E389" t="s">
        <v>48</v>
      </c>
      <c r="F389">
        <v>10</v>
      </c>
      <c r="G389">
        <v>1455</v>
      </c>
      <c r="H389">
        <v>14550</v>
      </c>
      <c r="I389">
        <v>2094</v>
      </c>
      <c r="J389" t="s">
        <v>17</v>
      </c>
    </row>
    <row r="390" spans="1:10" x14ac:dyDescent="0.35">
      <c r="A390" t="s">
        <v>460</v>
      </c>
      <c r="B390" s="1">
        <v>45256</v>
      </c>
      <c r="C390" t="s">
        <v>30</v>
      </c>
      <c r="D390" t="s">
        <v>40</v>
      </c>
      <c r="E390" t="s">
        <v>46</v>
      </c>
      <c r="F390">
        <v>3</v>
      </c>
      <c r="G390">
        <v>1526</v>
      </c>
      <c r="H390">
        <v>4578</v>
      </c>
      <c r="I390">
        <v>1374</v>
      </c>
      <c r="J390" t="s">
        <v>22</v>
      </c>
    </row>
    <row r="391" spans="1:10" x14ac:dyDescent="0.35">
      <c r="A391" t="s">
        <v>461</v>
      </c>
      <c r="B391" s="1">
        <v>45005</v>
      </c>
      <c r="C391" t="s">
        <v>30</v>
      </c>
      <c r="D391" t="s">
        <v>20</v>
      </c>
      <c r="E391" t="s">
        <v>55</v>
      </c>
      <c r="F391">
        <v>7</v>
      </c>
      <c r="G391">
        <v>3645</v>
      </c>
      <c r="H391">
        <v>25515</v>
      </c>
      <c r="I391">
        <v>8420</v>
      </c>
      <c r="J391" t="s">
        <v>32</v>
      </c>
    </row>
    <row r="392" spans="1:10" x14ac:dyDescent="0.35">
      <c r="A392" t="s">
        <v>462</v>
      </c>
      <c r="B392" s="1">
        <v>45283</v>
      </c>
      <c r="C392" t="s">
        <v>19</v>
      </c>
      <c r="D392" t="s">
        <v>25</v>
      </c>
      <c r="E392" t="s">
        <v>153</v>
      </c>
      <c r="F392">
        <v>3</v>
      </c>
      <c r="G392">
        <v>4612</v>
      </c>
      <c r="H392">
        <v>13836</v>
      </c>
      <c r="I392">
        <v>3813</v>
      </c>
      <c r="J392" t="s">
        <v>22</v>
      </c>
    </row>
    <row r="393" spans="1:10" x14ac:dyDescent="0.35">
      <c r="A393" t="s">
        <v>463</v>
      </c>
      <c r="B393" s="1">
        <v>45082</v>
      </c>
      <c r="C393" t="s">
        <v>19</v>
      </c>
      <c r="D393" t="s">
        <v>20</v>
      </c>
      <c r="E393" t="s">
        <v>179</v>
      </c>
      <c r="F393">
        <v>8</v>
      </c>
      <c r="G393">
        <v>3106</v>
      </c>
      <c r="H393">
        <v>24848</v>
      </c>
      <c r="I393">
        <v>4870</v>
      </c>
      <c r="J393" t="s">
        <v>32</v>
      </c>
    </row>
    <row r="394" spans="1:10" x14ac:dyDescent="0.35">
      <c r="A394" t="s">
        <v>464</v>
      </c>
      <c r="B394" s="1">
        <v>45073</v>
      </c>
      <c r="C394" t="s">
        <v>10</v>
      </c>
      <c r="D394" t="s">
        <v>11</v>
      </c>
      <c r="E394" t="s">
        <v>71</v>
      </c>
      <c r="F394">
        <v>10</v>
      </c>
      <c r="G394">
        <v>3460</v>
      </c>
      <c r="H394">
        <v>34600</v>
      </c>
      <c r="I394">
        <v>3873</v>
      </c>
      <c r="J394" t="s">
        <v>32</v>
      </c>
    </row>
    <row r="395" spans="1:10" x14ac:dyDescent="0.35">
      <c r="A395" t="s">
        <v>465</v>
      </c>
      <c r="B395" s="1">
        <v>45258</v>
      </c>
      <c r="C395" t="s">
        <v>30</v>
      </c>
      <c r="D395" t="s">
        <v>15</v>
      </c>
      <c r="E395" t="s">
        <v>151</v>
      </c>
      <c r="F395">
        <v>3</v>
      </c>
      <c r="G395">
        <v>3433</v>
      </c>
      <c r="H395">
        <v>10299</v>
      </c>
      <c r="I395">
        <v>1840</v>
      </c>
      <c r="J395" t="s">
        <v>17</v>
      </c>
    </row>
    <row r="396" spans="1:10" x14ac:dyDescent="0.35">
      <c r="A396" t="s">
        <v>466</v>
      </c>
      <c r="B396" s="1">
        <v>45083</v>
      </c>
      <c r="C396" t="s">
        <v>10</v>
      </c>
      <c r="D396" t="s">
        <v>15</v>
      </c>
      <c r="E396" t="s">
        <v>41</v>
      </c>
      <c r="F396">
        <v>4</v>
      </c>
      <c r="G396">
        <v>1253</v>
      </c>
      <c r="H396">
        <v>5012</v>
      </c>
      <c r="I396">
        <v>707</v>
      </c>
      <c r="J396" t="s">
        <v>17</v>
      </c>
    </row>
    <row r="397" spans="1:10" x14ac:dyDescent="0.35">
      <c r="A397" t="s">
        <v>467</v>
      </c>
      <c r="B397" s="1">
        <v>45236</v>
      </c>
      <c r="C397" t="s">
        <v>30</v>
      </c>
      <c r="D397" t="s">
        <v>15</v>
      </c>
      <c r="E397" t="s">
        <v>179</v>
      </c>
      <c r="F397">
        <v>7</v>
      </c>
      <c r="G397">
        <v>854</v>
      </c>
      <c r="H397">
        <v>5978</v>
      </c>
      <c r="I397">
        <v>2261</v>
      </c>
      <c r="J397" t="s">
        <v>17</v>
      </c>
    </row>
    <row r="398" spans="1:10" x14ac:dyDescent="0.35">
      <c r="A398" t="s">
        <v>468</v>
      </c>
      <c r="B398" s="1">
        <v>45145</v>
      </c>
      <c r="C398" t="s">
        <v>19</v>
      </c>
      <c r="D398" t="s">
        <v>20</v>
      </c>
      <c r="E398" t="s">
        <v>87</v>
      </c>
      <c r="F398">
        <v>4</v>
      </c>
      <c r="G398">
        <v>2788</v>
      </c>
      <c r="H398">
        <v>11152</v>
      </c>
      <c r="I398">
        <v>3810</v>
      </c>
      <c r="J398" t="s">
        <v>32</v>
      </c>
    </row>
    <row r="399" spans="1:10" x14ac:dyDescent="0.35">
      <c r="A399" t="s">
        <v>469</v>
      </c>
      <c r="B399" s="1">
        <v>45215</v>
      </c>
      <c r="C399" t="s">
        <v>30</v>
      </c>
      <c r="D399" t="s">
        <v>40</v>
      </c>
      <c r="E399" t="s">
        <v>149</v>
      </c>
      <c r="F399">
        <v>2</v>
      </c>
      <c r="G399">
        <v>4429</v>
      </c>
      <c r="H399">
        <v>8858</v>
      </c>
      <c r="I399">
        <v>1655</v>
      </c>
      <c r="J399" t="s">
        <v>32</v>
      </c>
    </row>
    <row r="400" spans="1:10" x14ac:dyDescent="0.35">
      <c r="A400" t="s">
        <v>470</v>
      </c>
      <c r="B400" s="1">
        <v>45262</v>
      </c>
      <c r="C400" t="s">
        <v>19</v>
      </c>
      <c r="D400" t="s">
        <v>40</v>
      </c>
      <c r="E400" t="s">
        <v>62</v>
      </c>
      <c r="F400">
        <v>7</v>
      </c>
      <c r="G400">
        <v>1479</v>
      </c>
      <c r="H400">
        <v>10353</v>
      </c>
      <c r="I400">
        <v>3995</v>
      </c>
      <c r="J400" t="s">
        <v>22</v>
      </c>
    </row>
    <row r="401" spans="1:10" x14ac:dyDescent="0.35">
      <c r="A401" t="s">
        <v>471</v>
      </c>
      <c r="B401" s="1">
        <v>45024</v>
      </c>
      <c r="C401" t="s">
        <v>30</v>
      </c>
      <c r="D401" t="s">
        <v>40</v>
      </c>
      <c r="E401" t="s">
        <v>92</v>
      </c>
      <c r="F401">
        <v>10</v>
      </c>
      <c r="G401">
        <v>1126</v>
      </c>
      <c r="H401">
        <v>11260</v>
      </c>
      <c r="I401">
        <v>4348</v>
      </c>
      <c r="J401" t="s">
        <v>22</v>
      </c>
    </row>
    <row r="402" spans="1:10" x14ac:dyDescent="0.35">
      <c r="A402" t="s">
        <v>472</v>
      </c>
      <c r="B402" s="1">
        <v>45257</v>
      </c>
      <c r="C402" t="s">
        <v>19</v>
      </c>
      <c r="D402" t="s">
        <v>40</v>
      </c>
      <c r="E402" t="s">
        <v>126</v>
      </c>
      <c r="F402">
        <v>8</v>
      </c>
      <c r="G402">
        <v>790</v>
      </c>
      <c r="H402">
        <v>6320</v>
      </c>
      <c r="I402">
        <v>1771</v>
      </c>
      <c r="J402" t="s">
        <v>22</v>
      </c>
    </row>
    <row r="403" spans="1:10" x14ac:dyDescent="0.35">
      <c r="A403" t="s">
        <v>473</v>
      </c>
      <c r="B403" s="1">
        <v>45227</v>
      </c>
      <c r="C403" t="s">
        <v>30</v>
      </c>
      <c r="D403" t="s">
        <v>40</v>
      </c>
      <c r="E403" t="s">
        <v>113</v>
      </c>
      <c r="F403">
        <v>7</v>
      </c>
      <c r="G403">
        <v>3595</v>
      </c>
      <c r="H403">
        <v>25165</v>
      </c>
      <c r="I403">
        <v>5432</v>
      </c>
      <c r="J403" t="s">
        <v>13</v>
      </c>
    </row>
    <row r="404" spans="1:10" x14ac:dyDescent="0.35">
      <c r="A404" t="s">
        <v>474</v>
      </c>
      <c r="B404" s="1">
        <v>45165</v>
      </c>
      <c r="C404" t="s">
        <v>19</v>
      </c>
      <c r="D404" t="s">
        <v>11</v>
      </c>
      <c r="E404" t="s">
        <v>71</v>
      </c>
      <c r="F404">
        <v>1</v>
      </c>
      <c r="G404">
        <v>3456</v>
      </c>
      <c r="H404">
        <v>3456</v>
      </c>
      <c r="I404">
        <v>877</v>
      </c>
      <c r="J404" t="s">
        <v>17</v>
      </c>
    </row>
    <row r="405" spans="1:10" x14ac:dyDescent="0.35">
      <c r="A405" t="s">
        <v>475</v>
      </c>
      <c r="B405" s="1">
        <v>45030</v>
      </c>
      <c r="C405" t="s">
        <v>10</v>
      </c>
      <c r="D405" t="s">
        <v>25</v>
      </c>
      <c r="E405" t="s">
        <v>36</v>
      </c>
      <c r="F405">
        <v>9</v>
      </c>
      <c r="G405">
        <v>4368</v>
      </c>
      <c r="H405">
        <v>39312</v>
      </c>
      <c r="I405">
        <v>8203</v>
      </c>
      <c r="J405" t="s">
        <v>22</v>
      </c>
    </row>
    <row r="406" spans="1:10" x14ac:dyDescent="0.35">
      <c r="A406" t="s">
        <v>476</v>
      </c>
      <c r="B406" s="1">
        <v>44966</v>
      </c>
      <c r="C406" t="s">
        <v>30</v>
      </c>
      <c r="D406" t="s">
        <v>25</v>
      </c>
      <c r="E406" t="s">
        <v>41</v>
      </c>
      <c r="F406">
        <v>2</v>
      </c>
      <c r="G406">
        <v>2999</v>
      </c>
      <c r="H406">
        <v>5998</v>
      </c>
      <c r="I406">
        <v>1571</v>
      </c>
      <c r="J406" t="s">
        <v>17</v>
      </c>
    </row>
    <row r="407" spans="1:10" x14ac:dyDescent="0.35">
      <c r="A407" t="s">
        <v>477</v>
      </c>
      <c r="B407" s="1">
        <v>45111</v>
      </c>
      <c r="C407" t="s">
        <v>30</v>
      </c>
      <c r="D407" t="s">
        <v>25</v>
      </c>
      <c r="E407" t="s">
        <v>173</v>
      </c>
      <c r="F407">
        <v>3</v>
      </c>
      <c r="G407">
        <v>2687</v>
      </c>
      <c r="H407">
        <v>8061</v>
      </c>
      <c r="I407">
        <v>1056</v>
      </c>
      <c r="J407" t="s">
        <v>13</v>
      </c>
    </row>
    <row r="408" spans="1:10" x14ac:dyDescent="0.35">
      <c r="A408" t="s">
        <v>478</v>
      </c>
      <c r="B408" s="1">
        <v>45123</v>
      </c>
      <c r="C408" t="s">
        <v>30</v>
      </c>
      <c r="D408" t="s">
        <v>11</v>
      </c>
      <c r="E408" t="s">
        <v>38</v>
      </c>
      <c r="F408">
        <v>6</v>
      </c>
      <c r="G408">
        <v>2157</v>
      </c>
      <c r="H408">
        <v>12942</v>
      </c>
      <c r="I408">
        <v>1609</v>
      </c>
      <c r="J408" t="s">
        <v>17</v>
      </c>
    </row>
    <row r="409" spans="1:10" x14ac:dyDescent="0.35">
      <c r="A409" t="s">
        <v>479</v>
      </c>
      <c r="B409" s="1">
        <v>45046</v>
      </c>
      <c r="C409" t="s">
        <v>30</v>
      </c>
      <c r="D409" t="s">
        <v>25</v>
      </c>
      <c r="E409" t="s">
        <v>62</v>
      </c>
      <c r="F409">
        <v>3</v>
      </c>
      <c r="G409">
        <v>2519</v>
      </c>
      <c r="H409">
        <v>7557</v>
      </c>
      <c r="I409">
        <v>1630</v>
      </c>
      <c r="J409" t="s">
        <v>13</v>
      </c>
    </row>
    <row r="410" spans="1:10" x14ac:dyDescent="0.35">
      <c r="A410" t="s">
        <v>480</v>
      </c>
      <c r="B410" s="1">
        <v>44927</v>
      </c>
      <c r="C410" t="s">
        <v>19</v>
      </c>
      <c r="D410" t="s">
        <v>15</v>
      </c>
      <c r="E410" t="s">
        <v>46</v>
      </c>
      <c r="F410">
        <v>9</v>
      </c>
      <c r="G410">
        <v>2423</v>
      </c>
      <c r="H410">
        <v>21807</v>
      </c>
      <c r="I410">
        <v>2868</v>
      </c>
      <c r="J410" t="s">
        <v>32</v>
      </c>
    </row>
    <row r="411" spans="1:10" x14ac:dyDescent="0.35">
      <c r="A411" t="s">
        <v>481</v>
      </c>
      <c r="B411" s="1">
        <v>44990</v>
      </c>
      <c r="C411" t="s">
        <v>30</v>
      </c>
      <c r="D411" t="s">
        <v>11</v>
      </c>
      <c r="E411" t="s">
        <v>118</v>
      </c>
      <c r="F411">
        <v>3</v>
      </c>
      <c r="G411">
        <v>3578</v>
      </c>
      <c r="H411">
        <v>10734</v>
      </c>
      <c r="I411">
        <v>1795</v>
      </c>
      <c r="J411" t="s">
        <v>32</v>
      </c>
    </row>
    <row r="412" spans="1:10" x14ac:dyDescent="0.35">
      <c r="A412" t="s">
        <v>482</v>
      </c>
      <c r="B412" s="1">
        <v>45037</v>
      </c>
      <c r="C412" t="s">
        <v>30</v>
      </c>
      <c r="D412" t="s">
        <v>11</v>
      </c>
      <c r="E412" t="s">
        <v>34</v>
      </c>
      <c r="F412">
        <v>1</v>
      </c>
      <c r="G412">
        <v>1104</v>
      </c>
      <c r="H412">
        <v>1104</v>
      </c>
      <c r="I412">
        <v>161</v>
      </c>
      <c r="J412" t="s">
        <v>32</v>
      </c>
    </row>
    <row r="413" spans="1:10" x14ac:dyDescent="0.35">
      <c r="A413" t="s">
        <v>483</v>
      </c>
      <c r="B413" s="1">
        <v>45255</v>
      </c>
      <c r="C413" t="s">
        <v>10</v>
      </c>
      <c r="D413" t="s">
        <v>20</v>
      </c>
      <c r="E413" t="s">
        <v>58</v>
      </c>
      <c r="F413">
        <v>4</v>
      </c>
      <c r="G413">
        <v>4269</v>
      </c>
      <c r="H413">
        <v>17076</v>
      </c>
      <c r="I413">
        <v>6046</v>
      </c>
      <c r="J413" t="s">
        <v>32</v>
      </c>
    </row>
    <row r="414" spans="1:10" x14ac:dyDescent="0.35">
      <c r="A414" t="s">
        <v>484</v>
      </c>
      <c r="B414" s="1">
        <v>45087</v>
      </c>
      <c r="C414" t="s">
        <v>30</v>
      </c>
      <c r="D414" t="s">
        <v>20</v>
      </c>
      <c r="E414" t="s">
        <v>87</v>
      </c>
      <c r="F414">
        <v>8</v>
      </c>
      <c r="G414">
        <v>1649</v>
      </c>
      <c r="H414">
        <v>13192</v>
      </c>
      <c r="I414">
        <v>4257</v>
      </c>
      <c r="J414" t="s">
        <v>32</v>
      </c>
    </row>
    <row r="415" spans="1:10" x14ac:dyDescent="0.35">
      <c r="A415" t="s">
        <v>485</v>
      </c>
      <c r="B415" s="1">
        <v>45068</v>
      </c>
      <c r="C415" t="s">
        <v>10</v>
      </c>
      <c r="D415" t="s">
        <v>40</v>
      </c>
      <c r="E415" t="s">
        <v>118</v>
      </c>
      <c r="F415">
        <v>5</v>
      </c>
      <c r="G415">
        <v>1830</v>
      </c>
      <c r="H415">
        <v>9150</v>
      </c>
      <c r="I415">
        <v>3363</v>
      </c>
      <c r="J415" t="s">
        <v>17</v>
      </c>
    </row>
    <row r="416" spans="1:10" x14ac:dyDescent="0.35">
      <c r="A416" t="s">
        <v>486</v>
      </c>
      <c r="B416" s="1">
        <v>45287</v>
      </c>
      <c r="C416" t="s">
        <v>19</v>
      </c>
      <c r="D416" t="s">
        <v>20</v>
      </c>
      <c r="E416" t="s">
        <v>92</v>
      </c>
      <c r="F416">
        <v>7</v>
      </c>
      <c r="G416">
        <v>3741</v>
      </c>
      <c r="H416">
        <v>26187</v>
      </c>
      <c r="I416">
        <v>6067</v>
      </c>
      <c r="J416" t="s">
        <v>32</v>
      </c>
    </row>
    <row r="417" spans="1:10" x14ac:dyDescent="0.35">
      <c r="A417" t="s">
        <v>487</v>
      </c>
      <c r="B417" s="1">
        <v>44996</v>
      </c>
      <c r="C417" t="s">
        <v>19</v>
      </c>
      <c r="D417" t="s">
        <v>40</v>
      </c>
      <c r="E417" t="s">
        <v>100</v>
      </c>
      <c r="F417">
        <v>5</v>
      </c>
      <c r="G417">
        <v>1547</v>
      </c>
      <c r="H417">
        <v>7735</v>
      </c>
      <c r="I417">
        <v>1815</v>
      </c>
      <c r="J417" t="s">
        <v>32</v>
      </c>
    </row>
    <row r="418" spans="1:10" x14ac:dyDescent="0.35">
      <c r="A418" t="s">
        <v>488</v>
      </c>
      <c r="B418" s="1">
        <v>45247</v>
      </c>
      <c r="C418" t="s">
        <v>30</v>
      </c>
      <c r="D418" t="s">
        <v>15</v>
      </c>
      <c r="E418" t="s">
        <v>123</v>
      </c>
      <c r="F418">
        <v>6</v>
      </c>
      <c r="G418">
        <v>2146</v>
      </c>
      <c r="H418">
        <v>12876</v>
      </c>
      <c r="I418">
        <v>4817</v>
      </c>
      <c r="J418" t="s">
        <v>22</v>
      </c>
    </row>
    <row r="419" spans="1:10" x14ac:dyDescent="0.35">
      <c r="A419" t="s">
        <v>489</v>
      </c>
      <c r="B419" s="1">
        <v>45083</v>
      </c>
      <c r="C419" t="s">
        <v>19</v>
      </c>
      <c r="D419" t="s">
        <v>40</v>
      </c>
      <c r="E419" t="s">
        <v>113</v>
      </c>
      <c r="F419">
        <v>1</v>
      </c>
      <c r="G419">
        <v>4997</v>
      </c>
      <c r="H419">
        <v>4997</v>
      </c>
      <c r="I419">
        <v>1125</v>
      </c>
      <c r="J419" t="s">
        <v>32</v>
      </c>
    </row>
    <row r="420" spans="1:10" x14ac:dyDescent="0.35">
      <c r="A420" t="s">
        <v>490</v>
      </c>
      <c r="B420" s="1">
        <v>45281</v>
      </c>
      <c r="C420" t="s">
        <v>24</v>
      </c>
      <c r="D420" t="s">
        <v>20</v>
      </c>
      <c r="E420" t="s">
        <v>211</v>
      </c>
      <c r="F420">
        <v>7</v>
      </c>
      <c r="G420">
        <v>2363</v>
      </c>
      <c r="H420">
        <v>16541</v>
      </c>
      <c r="I420">
        <v>3231</v>
      </c>
      <c r="J420" t="s">
        <v>32</v>
      </c>
    </row>
    <row r="421" spans="1:10" x14ac:dyDescent="0.35">
      <c r="A421" t="s">
        <v>491</v>
      </c>
      <c r="B421" s="1">
        <v>44937</v>
      </c>
      <c r="C421" t="s">
        <v>24</v>
      </c>
      <c r="D421" t="s">
        <v>40</v>
      </c>
      <c r="E421" t="s">
        <v>64</v>
      </c>
      <c r="F421">
        <v>6</v>
      </c>
      <c r="G421">
        <v>4948</v>
      </c>
      <c r="H421">
        <v>29688</v>
      </c>
      <c r="I421">
        <v>10088</v>
      </c>
      <c r="J421" t="s">
        <v>17</v>
      </c>
    </row>
    <row r="422" spans="1:10" x14ac:dyDescent="0.35">
      <c r="A422" t="s">
        <v>492</v>
      </c>
      <c r="B422" s="1">
        <v>45116</v>
      </c>
      <c r="C422" t="s">
        <v>30</v>
      </c>
      <c r="D422" t="s">
        <v>20</v>
      </c>
      <c r="E422" t="s">
        <v>123</v>
      </c>
      <c r="F422">
        <v>2</v>
      </c>
      <c r="G422">
        <v>4627</v>
      </c>
      <c r="H422">
        <v>9254</v>
      </c>
      <c r="I422">
        <v>1255</v>
      </c>
      <c r="J422" t="s">
        <v>17</v>
      </c>
    </row>
    <row r="423" spans="1:10" x14ac:dyDescent="0.35">
      <c r="A423" t="s">
        <v>493</v>
      </c>
      <c r="B423" s="1">
        <v>45007</v>
      </c>
      <c r="C423" t="s">
        <v>19</v>
      </c>
      <c r="D423" t="s">
        <v>40</v>
      </c>
      <c r="E423" t="s">
        <v>151</v>
      </c>
      <c r="F423">
        <v>3</v>
      </c>
      <c r="G423">
        <v>1037</v>
      </c>
      <c r="H423">
        <v>3111</v>
      </c>
      <c r="I423">
        <v>649</v>
      </c>
      <c r="J423" t="s">
        <v>13</v>
      </c>
    </row>
    <row r="424" spans="1:10" x14ac:dyDescent="0.35">
      <c r="A424" t="s">
        <v>494</v>
      </c>
      <c r="B424" s="1">
        <v>45152</v>
      </c>
      <c r="C424" t="s">
        <v>30</v>
      </c>
      <c r="D424" t="s">
        <v>11</v>
      </c>
      <c r="E424" t="s">
        <v>179</v>
      </c>
      <c r="F424">
        <v>4</v>
      </c>
      <c r="G424">
        <v>4637</v>
      </c>
      <c r="H424">
        <v>18548</v>
      </c>
      <c r="I424">
        <v>4569</v>
      </c>
      <c r="J424" t="s">
        <v>32</v>
      </c>
    </row>
    <row r="425" spans="1:10" x14ac:dyDescent="0.35">
      <c r="A425" t="s">
        <v>495</v>
      </c>
      <c r="B425" s="1">
        <v>45021</v>
      </c>
      <c r="C425" t="s">
        <v>19</v>
      </c>
      <c r="D425" t="s">
        <v>25</v>
      </c>
      <c r="E425" t="s">
        <v>71</v>
      </c>
      <c r="F425">
        <v>3</v>
      </c>
      <c r="G425">
        <v>2177</v>
      </c>
      <c r="H425">
        <v>6531</v>
      </c>
      <c r="I425">
        <v>1774</v>
      </c>
      <c r="J425" t="s">
        <v>22</v>
      </c>
    </row>
    <row r="426" spans="1:10" x14ac:dyDescent="0.35">
      <c r="A426" t="s">
        <v>496</v>
      </c>
      <c r="B426" s="1">
        <v>45142</v>
      </c>
      <c r="C426" t="s">
        <v>19</v>
      </c>
      <c r="D426" t="s">
        <v>25</v>
      </c>
      <c r="E426" t="s">
        <v>68</v>
      </c>
      <c r="F426">
        <v>6</v>
      </c>
      <c r="G426">
        <v>4134</v>
      </c>
      <c r="H426">
        <v>24804</v>
      </c>
      <c r="I426">
        <v>8950</v>
      </c>
      <c r="J426" t="s">
        <v>13</v>
      </c>
    </row>
    <row r="427" spans="1:10" x14ac:dyDescent="0.35">
      <c r="A427" t="s">
        <v>497</v>
      </c>
      <c r="B427" s="1">
        <v>45071</v>
      </c>
      <c r="C427" t="s">
        <v>24</v>
      </c>
      <c r="D427" t="s">
        <v>20</v>
      </c>
      <c r="E427" t="s">
        <v>31</v>
      </c>
      <c r="F427">
        <v>6</v>
      </c>
      <c r="G427">
        <v>766</v>
      </c>
      <c r="H427">
        <v>4596</v>
      </c>
      <c r="I427">
        <v>650</v>
      </c>
      <c r="J427" t="s">
        <v>17</v>
      </c>
    </row>
    <row r="428" spans="1:10" x14ac:dyDescent="0.35">
      <c r="A428" t="s">
        <v>498</v>
      </c>
      <c r="B428" s="1">
        <v>44976</v>
      </c>
      <c r="C428" t="s">
        <v>19</v>
      </c>
      <c r="D428" t="s">
        <v>15</v>
      </c>
      <c r="E428" t="s">
        <v>102</v>
      </c>
      <c r="F428">
        <v>3</v>
      </c>
      <c r="G428">
        <v>2777</v>
      </c>
      <c r="H428">
        <v>8331</v>
      </c>
      <c r="I428">
        <v>1809</v>
      </c>
      <c r="J428" t="s">
        <v>22</v>
      </c>
    </row>
    <row r="429" spans="1:10" x14ac:dyDescent="0.35">
      <c r="A429" t="s">
        <v>499</v>
      </c>
      <c r="B429" s="1">
        <v>45010</v>
      </c>
      <c r="C429" t="s">
        <v>10</v>
      </c>
      <c r="D429" t="s">
        <v>15</v>
      </c>
      <c r="E429" t="s">
        <v>128</v>
      </c>
      <c r="F429">
        <v>4</v>
      </c>
      <c r="G429">
        <v>2042</v>
      </c>
      <c r="H429">
        <v>8168</v>
      </c>
      <c r="I429">
        <v>1314</v>
      </c>
      <c r="J429" t="s">
        <v>32</v>
      </c>
    </row>
    <row r="430" spans="1:10" x14ac:dyDescent="0.35">
      <c r="A430" t="s">
        <v>500</v>
      </c>
      <c r="B430" s="1">
        <v>45291</v>
      </c>
      <c r="C430" t="s">
        <v>30</v>
      </c>
      <c r="D430" t="s">
        <v>40</v>
      </c>
      <c r="E430" t="s">
        <v>89</v>
      </c>
      <c r="F430">
        <v>4</v>
      </c>
      <c r="G430">
        <v>4195</v>
      </c>
      <c r="H430">
        <v>16780</v>
      </c>
      <c r="I430">
        <v>1922</v>
      </c>
      <c r="J430" t="s">
        <v>32</v>
      </c>
    </row>
    <row r="431" spans="1:10" x14ac:dyDescent="0.35">
      <c r="A431" t="s">
        <v>501</v>
      </c>
      <c r="B431" s="1">
        <v>45033</v>
      </c>
      <c r="C431" t="s">
        <v>19</v>
      </c>
      <c r="D431" t="s">
        <v>11</v>
      </c>
      <c r="E431" t="s">
        <v>92</v>
      </c>
      <c r="F431">
        <v>2</v>
      </c>
      <c r="G431">
        <v>3327</v>
      </c>
      <c r="H431">
        <v>6654</v>
      </c>
      <c r="I431">
        <v>668</v>
      </c>
      <c r="J431" t="s">
        <v>13</v>
      </c>
    </row>
    <row r="432" spans="1:10" x14ac:dyDescent="0.35">
      <c r="A432" t="s">
        <v>502</v>
      </c>
      <c r="B432" s="1">
        <v>45000</v>
      </c>
      <c r="C432" t="s">
        <v>24</v>
      </c>
      <c r="D432" t="s">
        <v>15</v>
      </c>
      <c r="E432" t="s">
        <v>151</v>
      </c>
      <c r="F432">
        <v>3</v>
      </c>
      <c r="G432">
        <v>1624</v>
      </c>
      <c r="H432">
        <v>4872</v>
      </c>
      <c r="I432">
        <v>1356</v>
      </c>
      <c r="J432" t="s">
        <v>13</v>
      </c>
    </row>
    <row r="433" spans="1:10" x14ac:dyDescent="0.35">
      <c r="A433" t="s">
        <v>503</v>
      </c>
      <c r="B433" s="1">
        <v>45157</v>
      </c>
      <c r="C433" t="s">
        <v>30</v>
      </c>
      <c r="D433" t="s">
        <v>25</v>
      </c>
      <c r="E433" t="s">
        <v>365</v>
      </c>
      <c r="F433">
        <v>7</v>
      </c>
      <c r="G433">
        <v>4992</v>
      </c>
      <c r="H433">
        <v>34944</v>
      </c>
      <c r="I433">
        <v>12585</v>
      </c>
      <c r="J433" t="s">
        <v>32</v>
      </c>
    </row>
    <row r="434" spans="1:10" x14ac:dyDescent="0.35">
      <c r="A434" t="s">
        <v>504</v>
      </c>
      <c r="B434" s="1">
        <v>44982</v>
      </c>
      <c r="C434" t="s">
        <v>19</v>
      </c>
      <c r="D434" t="s">
        <v>40</v>
      </c>
      <c r="E434" t="s">
        <v>128</v>
      </c>
      <c r="F434">
        <v>3</v>
      </c>
      <c r="G434">
        <v>3561</v>
      </c>
      <c r="H434">
        <v>10683</v>
      </c>
      <c r="I434">
        <v>2913</v>
      </c>
      <c r="J434" t="s">
        <v>32</v>
      </c>
    </row>
    <row r="435" spans="1:10" x14ac:dyDescent="0.35">
      <c r="A435" t="s">
        <v>505</v>
      </c>
      <c r="B435" s="1">
        <v>45256</v>
      </c>
      <c r="C435" t="s">
        <v>24</v>
      </c>
      <c r="D435" t="s">
        <v>25</v>
      </c>
      <c r="E435" t="s">
        <v>64</v>
      </c>
      <c r="F435">
        <v>4</v>
      </c>
      <c r="G435">
        <v>1697</v>
      </c>
      <c r="H435">
        <v>6788</v>
      </c>
      <c r="I435">
        <v>863</v>
      </c>
      <c r="J435" t="s">
        <v>22</v>
      </c>
    </row>
    <row r="436" spans="1:10" x14ac:dyDescent="0.35">
      <c r="A436" t="s">
        <v>506</v>
      </c>
      <c r="B436" s="1">
        <v>45266</v>
      </c>
      <c r="C436" t="s">
        <v>10</v>
      </c>
      <c r="D436" t="s">
        <v>20</v>
      </c>
      <c r="E436" t="s">
        <v>68</v>
      </c>
      <c r="F436">
        <v>9</v>
      </c>
      <c r="G436">
        <v>691</v>
      </c>
      <c r="H436">
        <v>6219</v>
      </c>
      <c r="I436">
        <v>2288</v>
      </c>
      <c r="J436" t="s">
        <v>17</v>
      </c>
    </row>
    <row r="437" spans="1:10" x14ac:dyDescent="0.35">
      <c r="A437" t="s">
        <v>507</v>
      </c>
      <c r="B437" s="1">
        <v>45106</v>
      </c>
      <c r="C437" t="s">
        <v>24</v>
      </c>
      <c r="D437" t="s">
        <v>25</v>
      </c>
      <c r="E437" t="s">
        <v>34</v>
      </c>
      <c r="F437">
        <v>9</v>
      </c>
      <c r="G437">
        <v>633</v>
      </c>
      <c r="H437">
        <v>5697</v>
      </c>
      <c r="I437">
        <v>1593</v>
      </c>
      <c r="J437" t="s">
        <v>32</v>
      </c>
    </row>
    <row r="438" spans="1:10" x14ac:dyDescent="0.35">
      <c r="A438" t="s">
        <v>508</v>
      </c>
      <c r="B438" s="1">
        <v>45283</v>
      </c>
      <c r="C438" t="s">
        <v>30</v>
      </c>
      <c r="D438" t="s">
        <v>40</v>
      </c>
      <c r="E438" t="s">
        <v>31</v>
      </c>
      <c r="F438">
        <v>6</v>
      </c>
      <c r="G438">
        <v>1109</v>
      </c>
      <c r="H438">
        <v>6654</v>
      </c>
      <c r="I438">
        <v>1496</v>
      </c>
      <c r="J438" t="s">
        <v>17</v>
      </c>
    </row>
    <row r="439" spans="1:10" x14ac:dyDescent="0.35">
      <c r="A439" t="s">
        <v>509</v>
      </c>
      <c r="B439" s="1">
        <v>45030</v>
      </c>
      <c r="C439" t="s">
        <v>24</v>
      </c>
      <c r="D439" t="s">
        <v>20</v>
      </c>
      <c r="E439" t="s">
        <v>179</v>
      </c>
      <c r="F439">
        <v>2</v>
      </c>
      <c r="G439">
        <v>1847</v>
      </c>
      <c r="H439">
        <v>3694</v>
      </c>
      <c r="I439">
        <v>469</v>
      </c>
      <c r="J439" t="s">
        <v>13</v>
      </c>
    </row>
    <row r="440" spans="1:10" x14ac:dyDescent="0.35">
      <c r="A440" t="s">
        <v>510</v>
      </c>
      <c r="B440" s="1">
        <v>45144</v>
      </c>
      <c r="C440" t="s">
        <v>19</v>
      </c>
      <c r="D440" t="s">
        <v>40</v>
      </c>
      <c r="E440" t="s">
        <v>62</v>
      </c>
      <c r="F440">
        <v>1</v>
      </c>
      <c r="G440">
        <v>2198</v>
      </c>
      <c r="H440">
        <v>2198</v>
      </c>
      <c r="I440">
        <v>787</v>
      </c>
      <c r="J440" t="s">
        <v>17</v>
      </c>
    </row>
    <row r="441" spans="1:10" x14ac:dyDescent="0.35">
      <c r="A441" t="s">
        <v>511</v>
      </c>
      <c r="B441" s="1">
        <v>44987</v>
      </c>
      <c r="C441" t="s">
        <v>30</v>
      </c>
      <c r="D441" t="s">
        <v>11</v>
      </c>
      <c r="E441" t="s">
        <v>21</v>
      </c>
      <c r="F441">
        <v>10</v>
      </c>
      <c r="G441">
        <v>1538</v>
      </c>
      <c r="H441">
        <v>15380</v>
      </c>
      <c r="I441">
        <v>3943</v>
      </c>
      <c r="J441" t="s">
        <v>22</v>
      </c>
    </row>
    <row r="442" spans="1:10" x14ac:dyDescent="0.35">
      <c r="A442" t="s">
        <v>512</v>
      </c>
      <c r="B442" s="1">
        <v>45186</v>
      </c>
      <c r="C442" t="s">
        <v>19</v>
      </c>
      <c r="D442" t="s">
        <v>40</v>
      </c>
      <c r="E442" t="s">
        <v>58</v>
      </c>
      <c r="F442">
        <v>10</v>
      </c>
      <c r="G442">
        <v>3137</v>
      </c>
      <c r="H442">
        <v>31370</v>
      </c>
      <c r="I442">
        <v>12351</v>
      </c>
      <c r="J442" t="s">
        <v>32</v>
      </c>
    </row>
    <row r="443" spans="1:10" x14ac:dyDescent="0.35">
      <c r="A443" t="s">
        <v>513</v>
      </c>
      <c r="B443" s="1">
        <v>45258</v>
      </c>
      <c r="C443" t="s">
        <v>19</v>
      </c>
      <c r="D443" t="s">
        <v>15</v>
      </c>
      <c r="E443" t="s">
        <v>68</v>
      </c>
      <c r="F443">
        <v>5</v>
      </c>
      <c r="G443">
        <v>1922</v>
      </c>
      <c r="H443">
        <v>9610</v>
      </c>
      <c r="I443">
        <v>1927</v>
      </c>
      <c r="J443" t="s">
        <v>17</v>
      </c>
    </row>
    <row r="444" spans="1:10" x14ac:dyDescent="0.35">
      <c r="A444" t="s">
        <v>514</v>
      </c>
      <c r="B444" s="1">
        <v>45240</v>
      </c>
      <c r="C444" t="s">
        <v>24</v>
      </c>
      <c r="D444" t="s">
        <v>11</v>
      </c>
      <c r="E444" t="s">
        <v>12</v>
      </c>
      <c r="F444">
        <v>5</v>
      </c>
      <c r="G444">
        <v>1854</v>
      </c>
      <c r="H444">
        <v>9270</v>
      </c>
      <c r="I444">
        <v>1349</v>
      </c>
      <c r="J444" t="s">
        <v>13</v>
      </c>
    </row>
    <row r="445" spans="1:10" x14ac:dyDescent="0.35">
      <c r="A445" t="s">
        <v>515</v>
      </c>
      <c r="B445" s="1">
        <v>45173</v>
      </c>
      <c r="C445" t="s">
        <v>19</v>
      </c>
      <c r="D445" t="s">
        <v>25</v>
      </c>
      <c r="E445" t="s">
        <v>16</v>
      </c>
      <c r="F445">
        <v>6</v>
      </c>
      <c r="G445">
        <v>3598</v>
      </c>
      <c r="H445">
        <v>21588</v>
      </c>
      <c r="I445">
        <v>5859</v>
      </c>
      <c r="J445" t="s">
        <v>32</v>
      </c>
    </row>
    <row r="446" spans="1:10" x14ac:dyDescent="0.35">
      <c r="A446" t="s">
        <v>516</v>
      </c>
      <c r="B446" s="1">
        <v>45078</v>
      </c>
      <c r="C446" t="s">
        <v>24</v>
      </c>
      <c r="D446" t="s">
        <v>11</v>
      </c>
      <c r="E446" t="s">
        <v>36</v>
      </c>
      <c r="F446">
        <v>3</v>
      </c>
      <c r="G446">
        <v>4760</v>
      </c>
      <c r="H446">
        <v>14280</v>
      </c>
      <c r="I446">
        <v>5174</v>
      </c>
      <c r="J446" t="s">
        <v>17</v>
      </c>
    </row>
    <row r="447" spans="1:10" x14ac:dyDescent="0.35">
      <c r="A447" t="s">
        <v>517</v>
      </c>
      <c r="B447" s="1">
        <v>45234</v>
      </c>
      <c r="C447" t="s">
        <v>10</v>
      </c>
      <c r="D447" t="s">
        <v>25</v>
      </c>
      <c r="E447" t="s">
        <v>36</v>
      </c>
      <c r="F447">
        <v>7</v>
      </c>
      <c r="G447">
        <v>847</v>
      </c>
      <c r="H447">
        <v>5929</v>
      </c>
      <c r="I447">
        <v>1141</v>
      </c>
      <c r="J447" t="s">
        <v>17</v>
      </c>
    </row>
    <row r="448" spans="1:10" x14ac:dyDescent="0.35">
      <c r="A448" t="s">
        <v>518</v>
      </c>
      <c r="B448" s="1">
        <v>45269</v>
      </c>
      <c r="C448" t="s">
        <v>30</v>
      </c>
      <c r="D448" t="s">
        <v>15</v>
      </c>
      <c r="E448" t="s">
        <v>31</v>
      </c>
      <c r="F448">
        <v>3</v>
      </c>
      <c r="G448">
        <v>4156</v>
      </c>
      <c r="H448">
        <v>12468</v>
      </c>
      <c r="I448">
        <v>4421</v>
      </c>
      <c r="J448" t="s">
        <v>22</v>
      </c>
    </row>
    <row r="449" spans="1:10" x14ac:dyDescent="0.35">
      <c r="A449" t="s">
        <v>519</v>
      </c>
      <c r="B449" s="1">
        <v>45158</v>
      </c>
      <c r="C449" t="s">
        <v>24</v>
      </c>
      <c r="D449" t="s">
        <v>40</v>
      </c>
      <c r="E449" t="s">
        <v>28</v>
      </c>
      <c r="F449">
        <v>2</v>
      </c>
      <c r="G449">
        <v>1493</v>
      </c>
      <c r="H449">
        <v>2986</v>
      </c>
      <c r="I449">
        <v>720</v>
      </c>
      <c r="J449" t="s">
        <v>22</v>
      </c>
    </row>
    <row r="450" spans="1:10" x14ac:dyDescent="0.35">
      <c r="A450" t="s">
        <v>520</v>
      </c>
      <c r="B450" s="1">
        <v>45220</v>
      </c>
      <c r="C450" t="s">
        <v>24</v>
      </c>
      <c r="D450" t="s">
        <v>15</v>
      </c>
      <c r="E450" t="s">
        <v>92</v>
      </c>
      <c r="F450">
        <v>1</v>
      </c>
      <c r="G450">
        <v>1113</v>
      </c>
      <c r="H450">
        <v>1113</v>
      </c>
      <c r="I450">
        <v>191</v>
      </c>
      <c r="J450" t="s">
        <v>17</v>
      </c>
    </row>
    <row r="451" spans="1:10" x14ac:dyDescent="0.35">
      <c r="A451" t="s">
        <v>521</v>
      </c>
      <c r="B451" s="1">
        <v>45074</v>
      </c>
      <c r="C451" t="s">
        <v>30</v>
      </c>
      <c r="D451" t="s">
        <v>15</v>
      </c>
      <c r="E451" t="s">
        <v>365</v>
      </c>
      <c r="F451">
        <v>5</v>
      </c>
      <c r="G451">
        <v>2617</v>
      </c>
      <c r="H451">
        <v>13085</v>
      </c>
      <c r="I451">
        <v>4499</v>
      </c>
      <c r="J451" t="s">
        <v>17</v>
      </c>
    </row>
    <row r="452" spans="1:10" x14ac:dyDescent="0.35">
      <c r="A452" t="s">
        <v>522</v>
      </c>
      <c r="B452" s="1">
        <v>45103</v>
      </c>
      <c r="C452" t="s">
        <v>10</v>
      </c>
      <c r="D452" t="s">
        <v>25</v>
      </c>
      <c r="E452" t="s">
        <v>102</v>
      </c>
      <c r="F452">
        <v>7</v>
      </c>
      <c r="G452">
        <v>1805</v>
      </c>
      <c r="H452">
        <v>12635</v>
      </c>
      <c r="I452">
        <v>3159</v>
      </c>
      <c r="J452" t="s">
        <v>17</v>
      </c>
    </row>
    <row r="453" spans="1:10" x14ac:dyDescent="0.35">
      <c r="A453" t="s">
        <v>523</v>
      </c>
      <c r="B453" s="1">
        <v>45168</v>
      </c>
      <c r="C453" t="s">
        <v>24</v>
      </c>
      <c r="D453" t="s">
        <v>40</v>
      </c>
      <c r="E453" t="s">
        <v>51</v>
      </c>
      <c r="F453">
        <v>7</v>
      </c>
      <c r="G453">
        <v>3762</v>
      </c>
      <c r="H453">
        <v>26334</v>
      </c>
      <c r="I453">
        <v>5035</v>
      </c>
      <c r="J453" t="s">
        <v>22</v>
      </c>
    </row>
    <row r="454" spans="1:10" x14ac:dyDescent="0.35">
      <c r="A454" t="s">
        <v>524</v>
      </c>
      <c r="B454" s="1">
        <v>45030</v>
      </c>
      <c r="C454" t="s">
        <v>30</v>
      </c>
      <c r="D454" t="s">
        <v>15</v>
      </c>
      <c r="E454" t="s">
        <v>92</v>
      </c>
      <c r="F454">
        <v>5</v>
      </c>
      <c r="G454">
        <v>3929</v>
      </c>
      <c r="H454">
        <v>19645</v>
      </c>
      <c r="I454">
        <v>2902</v>
      </c>
      <c r="J454" t="s">
        <v>13</v>
      </c>
    </row>
    <row r="455" spans="1:10" x14ac:dyDescent="0.35">
      <c r="A455" t="s">
        <v>525</v>
      </c>
      <c r="B455" s="1">
        <v>45179</v>
      </c>
      <c r="C455" t="s">
        <v>30</v>
      </c>
      <c r="D455" t="s">
        <v>25</v>
      </c>
      <c r="E455" t="s">
        <v>12</v>
      </c>
      <c r="F455">
        <v>9</v>
      </c>
      <c r="G455">
        <v>2591</v>
      </c>
      <c r="H455">
        <v>23319</v>
      </c>
      <c r="I455">
        <v>3753</v>
      </c>
      <c r="J455" t="s">
        <v>32</v>
      </c>
    </row>
    <row r="456" spans="1:10" x14ac:dyDescent="0.35">
      <c r="A456" t="s">
        <v>526</v>
      </c>
      <c r="B456" s="1">
        <v>45134</v>
      </c>
      <c r="C456" t="s">
        <v>10</v>
      </c>
      <c r="D456" t="s">
        <v>25</v>
      </c>
      <c r="E456" t="s">
        <v>53</v>
      </c>
      <c r="F456">
        <v>7</v>
      </c>
      <c r="G456">
        <v>2390</v>
      </c>
      <c r="H456">
        <v>16730</v>
      </c>
      <c r="I456">
        <v>4801</v>
      </c>
      <c r="J456" t="s">
        <v>22</v>
      </c>
    </row>
    <row r="457" spans="1:10" x14ac:dyDescent="0.35">
      <c r="A457" t="s">
        <v>527</v>
      </c>
      <c r="B457" s="1">
        <v>44986</v>
      </c>
      <c r="C457" t="s">
        <v>30</v>
      </c>
      <c r="D457" t="s">
        <v>25</v>
      </c>
      <c r="E457" t="s">
        <v>46</v>
      </c>
      <c r="F457">
        <v>7</v>
      </c>
      <c r="G457">
        <v>1487</v>
      </c>
      <c r="H457">
        <v>10409</v>
      </c>
      <c r="I457">
        <v>3751</v>
      </c>
      <c r="J457" t="s">
        <v>13</v>
      </c>
    </row>
    <row r="458" spans="1:10" x14ac:dyDescent="0.35">
      <c r="A458" t="s">
        <v>528</v>
      </c>
      <c r="B458" s="1">
        <v>45198</v>
      </c>
      <c r="C458" t="s">
        <v>10</v>
      </c>
      <c r="D458" t="s">
        <v>11</v>
      </c>
      <c r="E458" t="s">
        <v>38</v>
      </c>
      <c r="F458">
        <v>2</v>
      </c>
      <c r="G458">
        <v>504</v>
      </c>
      <c r="H458">
        <v>1008</v>
      </c>
      <c r="I458">
        <v>138</v>
      </c>
      <c r="J458" t="s">
        <v>13</v>
      </c>
    </row>
    <row r="459" spans="1:10" x14ac:dyDescent="0.35">
      <c r="A459" t="s">
        <v>529</v>
      </c>
      <c r="B459" s="1">
        <v>44971</v>
      </c>
      <c r="C459" t="s">
        <v>10</v>
      </c>
      <c r="D459" t="s">
        <v>20</v>
      </c>
      <c r="E459" t="s">
        <v>102</v>
      </c>
      <c r="F459">
        <v>3</v>
      </c>
      <c r="G459">
        <v>2160</v>
      </c>
      <c r="H459">
        <v>6480</v>
      </c>
      <c r="I459">
        <v>1965</v>
      </c>
      <c r="J459" t="s">
        <v>22</v>
      </c>
    </row>
    <row r="460" spans="1:10" x14ac:dyDescent="0.35">
      <c r="A460" t="s">
        <v>530</v>
      </c>
      <c r="B460" s="1">
        <v>45256</v>
      </c>
      <c r="C460" t="s">
        <v>30</v>
      </c>
      <c r="D460" t="s">
        <v>11</v>
      </c>
      <c r="E460" t="s">
        <v>51</v>
      </c>
      <c r="F460">
        <v>3</v>
      </c>
      <c r="G460">
        <v>3841</v>
      </c>
      <c r="H460">
        <v>11523</v>
      </c>
      <c r="I460">
        <v>2264</v>
      </c>
      <c r="J460" t="s">
        <v>22</v>
      </c>
    </row>
    <row r="461" spans="1:10" x14ac:dyDescent="0.35">
      <c r="A461" t="s">
        <v>531</v>
      </c>
      <c r="B461" s="1">
        <v>44928</v>
      </c>
      <c r="C461" t="s">
        <v>24</v>
      </c>
      <c r="D461" t="s">
        <v>11</v>
      </c>
      <c r="E461" t="s">
        <v>130</v>
      </c>
      <c r="F461">
        <v>2</v>
      </c>
      <c r="G461">
        <v>3478</v>
      </c>
      <c r="H461">
        <v>6956</v>
      </c>
      <c r="I461">
        <v>1872</v>
      </c>
      <c r="J461" t="s">
        <v>22</v>
      </c>
    </row>
    <row r="462" spans="1:10" x14ac:dyDescent="0.35">
      <c r="A462" t="s">
        <v>532</v>
      </c>
      <c r="B462" s="1">
        <v>45087</v>
      </c>
      <c r="C462" t="s">
        <v>30</v>
      </c>
      <c r="D462" t="s">
        <v>15</v>
      </c>
      <c r="E462" t="s">
        <v>102</v>
      </c>
      <c r="F462">
        <v>3</v>
      </c>
      <c r="G462">
        <v>1611</v>
      </c>
      <c r="H462">
        <v>4833</v>
      </c>
      <c r="I462">
        <v>713</v>
      </c>
      <c r="J462" t="s">
        <v>13</v>
      </c>
    </row>
    <row r="463" spans="1:10" x14ac:dyDescent="0.35">
      <c r="A463" t="s">
        <v>533</v>
      </c>
      <c r="B463" s="1">
        <v>45141</v>
      </c>
      <c r="C463" t="s">
        <v>30</v>
      </c>
      <c r="D463" t="s">
        <v>15</v>
      </c>
      <c r="E463" t="s">
        <v>130</v>
      </c>
      <c r="F463">
        <v>1</v>
      </c>
      <c r="G463">
        <v>1196</v>
      </c>
      <c r="H463">
        <v>1196</v>
      </c>
      <c r="I463">
        <v>313</v>
      </c>
      <c r="J463" t="s">
        <v>17</v>
      </c>
    </row>
    <row r="464" spans="1:10" x14ac:dyDescent="0.35">
      <c r="A464" t="s">
        <v>534</v>
      </c>
      <c r="B464" s="1">
        <v>44937</v>
      </c>
      <c r="C464" t="s">
        <v>30</v>
      </c>
      <c r="D464" t="s">
        <v>20</v>
      </c>
      <c r="E464" t="s">
        <v>87</v>
      </c>
      <c r="F464">
        <v>10</v>
      </c>
      <c r="G464">
        <v>2095</v>
      </c>
      <c r="H464">
        <v>20950</v>
      </c>
      <c r="I464">
        <v>4408</v>
      </c>
      <c r="J464" t="s">
        <v>13</v>
      </c>
    </row>
    <row r="465" spans="1:10" x14ac:dyDescent="0.35">
      <c r="A465" t="s">
        <v>535</v>
      </c>
      <c r="B465" s="1">
        <v>45018</v>
      </c>
      <c r="C465" t="s">
        <v>24</v>
      </c>
      <c r="D465" t="s">
        <v>25</v>
      </c>
      <c r="E465" t="s">
        <v>48</v>
      </c>
      <c r="F465">
        <v>9</v>
      </c>
      <c r="G465">
        <v>2795</v>
      </c>
      <c r="H465">
        <v>25155</v>
      </c>
      <c r="I465">
        <v>7618</v>
      </c>
      <c r="J465" t="s">
        <v>13</v>
      </c>
    </row>
    <row r="466" spans="1:10" x14ac:dyDescent="0.35">
      <c r="A466" t="s">
        <v>536</v>
      </c>
      <c r="B466" s="1">
        <v>44953</v>
      </c>
      <c r="C466" t="s">
        <v>24</v>
      </c>
      <c r="D466" t="s">
        <v>20</v>
      </c>
      <c r="E466" t="s">
        <v>80</v>
      </c>
      <c r="F466">
        <v>2</v>
      </c>
      <c r="G466">
        <v>1293</v>
      </c>
      <c r="H466">
        <v>2586</v>
      </c>
      <c r="I466">
        <v>591</v>
      </c>
      <c r="J466" t="s">
        <v>13</v>
      </c>
    </row>
    <row r="467" spans="1:10" x14ac:dyDescent="0.35">
      <c r="A467" t="s">
        <v>537</v>
      </c>
      <c r="B467" s="1">
        <v>44995</v>
      </c>
      <c r="C467" t="s">
        <v>30</v>
      </c>
      <c r="D467" t="s">
        <v>25</v>
      </c>
      <c r="E467" t="s">
        <v>216</v>
      </c>
      <c r="F467">
        <v>2</v>
      </c>
      <c r="G467">
        <v>3293</v>
      </c>
      <c r="H467">
        <v>6586</v>
      </c>
      <c r="I467">
        <v>2615</v>
      </c>
      <c r="J467" t="s">
        <v>17</v>
      </c>
    </row>
    <row r="468" spans="1:10" x14ac:dyDescent="0.35">
      <c r="A468" t="s">
        <v>538</v>
      </c>
      <c r="B468" s="1">
        <v>45076</v>
      </c>
      <c r="C468" t="s">
        <v>24</v>
      </c>
      <c r="D468" t="s">
        <v>40</v>
      </c>
      <c r="E468" t="s">
        <v>126</v>
      </c>
      <c r="F468">
        <v>10</v>
      </c>
      <c r="G468">
        <v>3615</v>
      </c>
      <c r="H468">
        <v>36150</v>
      </c>
      <c r="I468">
        <v>14131</v>
      </c>
      <c r="J468" t="s">
        <v>32</v>
      </c>
    </row>
    <row r="469" spans="1:10" x14ac:dyDescent="0.35">
      <c r="A469" t="s">
        <v>539</v>
      </c>
      <c r="B469" s="1">
        <v>45079</v>
      </c>
      <c r="C469" t="s">
        <v>30</v>
      </c>
      <c r="D469" t="s">
        <v>20</v>
      </c>
      <c r="E469" t="s">
        <v>118</v>
      </c>
      <c r="F469">
        <v>6</v>
      </c>
      <c r="G469">
        <v>736</v>
      </c>
      <c r="H469">
        <v>4416</v>
      </c>
      <c r="I469">
        <v>540</v>
      </c>
      <c r="J469" t="s">
        <v>13</v>
      </c>
    </row>
    <row r="470" spans="1:10" x14ac:dyDescent="0.35">
      <c r="A470" t="s">
        <v>540</v>
      </c>
      <c r="B470" s="1">
        <v>45008</v>
      </c>
      <c r="C470" t="s">
        <v>24</v>
      </c>
      <c r="D470" t="s">
        <v>25</v>
      </c>
      <c r="E470" t="s">
        <v>78</v>
      </c>
      <c r="F470">
        <v>10</v>
      </c>
      <c r="G470">
        <v>650</v>
      </c>
      <c r="H470">
        <v>6500</v>
      </c>
      <c r="I470">
        <v>1733</v>
      </c>
      <c r="J470" t="s">
        <v>13</v>
      </c>
    </row>
    <row r="471" spans="1:10" x14ac:dyDescent="0.35">
      <c r="A471" t="s">
        <v>541</v>
      </c>
      <c r="B471" s="1">
        <v>45252</v>
      </c>
      <c r="C471" t="s">
        <v>30</v>
      </c>
      <c r="D471" t="s">
        <v>40</v>
      </c>
      <c r="E471" t="s">
        <v>218</v>
      </c>
      <c r="F471">
        <v>6</v>
      </c>
      <c r="G471">
        <v>3837</v>
      </c>
      <c r="H471">
        <v>23022</v>
      </c>
      <c r="I471">
        <v>2713</v>
      </c>
      <c r="J471" t="s">
        <v>17</v>
      </c>
    </row>
    <row r="472" spans="1:10" x14ac:dyDescent="0.35">
      <c r="A472" t="s">
        <v>542</v>
      </c>
      <c r="B472" s="1">
        <v>45036</v>
      </c>
      <c r="C472" t="s">
        <v>30</v>
      </c>
      <c r="D472" t="s">
        <v>15</v>
      </c>
      <c r="E472" t="s">
        <v>46</v>
      </c>
      <c r="F472">
        <v>5</v>
      </c>
      <c r="G472">
        <v>3701</v>
      </c>
      <c r="H472">
        <v>18505</v>
      </c>
      <c r="I472">
        <v>5438</v>
      </c>
      <c r="J472" t="s">
        <v>22</v>
      </c>
    </row>
    <row r="473" spans="1:10" x14ac:dyDescent="0.35">
      <c r="A473" t="s">
        <v>543</v>
      </c>
      <c r="B473" s="1">
        <v>45263</v>
      </c>
      <c r="C473" t="s">
        <v>10</v>
      </c>
      <c r="D473" t="s">
        <v>20</v>
      </c>
      <c r="E473" t="s">
        <v>216</v>
      </c>
      <c r="F473">
        <v>8</v>
      </c>
      <c r="G473">
        <v>4530</v>
      </c>
      <c r="H473">
        <v>36240</v>
      </c>
      <c r="I473">
        <v>10317</v>
      </c>
      <c r="J473" t="s">
        <v>13</v>
      </c>
    </row>
    <row r="474" spans="1:10" x14ac:dyDescent="0.35">
      <c r="A474" t="s">
        <v>544</v>
      </c>
      <c r="B474" s="1">
        <v>44955</v>
      </c>
      <c r="C474" t="s">
        <v>10</v>
      </c>
      <c r="D474" t="s">
        <v>11</v>
      </c>
      <c r="E474" t="s">
        <v>118</v>
      </c>
      <c r="F474">
        <v>1</v>
      </c>
      <c r="G474">
        <v>2584</v>
      </c>
      <c r="H474">
        <v>2584</v>
      </c>
      <c r="I474">
        <v>868</v>
      </c>
      <c r="J474" t="s">
        <v>17</v>
      </c>
    </row>
    <row r="475" spans="1:10" x14ac:dyDescent="0.35">
      <c r="A475" t="s">
        <v>545</v>
      </c>
      <c r="B475" s="1">
        <v>45175</v>
      </c>
      <c r="C475" t="s">
        <v>24</v>
      </c>
      <c r="D475" t="s">
        <v>25</v>
      </c>
      <c r="E475" t="s">
        <v>71</v>
      </c>
      <c r="F475">
        <v>1</v>
      </c>
      <c r="G475">
        <v>2310</v>
      </c>
      <c r="H475">
        <v>2310</v>
      </c>
      <c r="I475">
        <v>855</v>
      </c>
      <c r="J475" t="s">
        <v>32</v>
      </c>
    </row>
    <row r="476" spans="1:10" x14ac:dyDescent="0.35">
      <c r="A476" t="s">
        <v>546</v>
      </c>
      <c r="B476" s="1">
        <v>45118</v>
      </c>
      <c r="C476" t="s">
        <v>19</v>
      </c>
      <c r="D476" t="s">
        <v>25</v>
      </c>
      <c r="E476" t="s">
        <v>64</v>
      </c>
      <c r="F476">
        <v>10</v>
      </c>
      <c r="G476">
        <v>503</v>
      </c>
      <c r="H476">
        <v>5030</v>
      </c>
      <c r="I476">
        <v>553</v>
      </c>
      <c r="J476" t="s">
        <v>22</v>
      </c>
    </row>
    <row r="477" spans="1:10" x14ac:dyDescent="0.35">
      <c r="A477" t="s">
        <v>547</v>
      </c>
      <c r="B477" s="1">
        <v>45193</v>
      </c>
      <c r="C477" t="s">
        <v>10</v>
      </c>
      <c r="D477" t="s">
        <v>20</v>
      </c>
      <c r="E477" t="s">
        <v>26</v>
      </c>
      <c r="F477">
        <v>7</v>
      </c>
      <c r="G477">
        <v>4754</v>
      </c>
      <c r="H477">
        <v>33278</v>
      </c>
      <c r="I477">
        <v>7161</v>
      </c>
      <c r="J477" t="s">
        <v>17</v>
      </c>
    </row>
    <row r="478" spans="1:10" x14ac:dyDescent="0.35">
      <c r="A478" t="s">
        <v>548</v>
      </c>
      <c r="B478" s="1">
        <v>44954</v>
      </c>
      <c r="C478" t="s">
        <v>19</v>
      </c>
      <c r="D478" t="s">
        <v>25</v>
      </c>
      <c r="E478" t="s">
        <v>168</v>
      </c>
      <c r="F478">
        <v>5</v>
      </c>
      <c r="G478">
        <v>4754</v>
      </c>
      <c r="H478">
        <v>23770</v>
      </c>
      <c r="I478">
        <v>3938</v>
      </c>
      <c r="J478" t="s">
        <v>17</v>
      </c>
    </row>
    <row r="479" spans="1:10" x14ac:dyDescent="0.35">
      <c r="A479" t="s">
        <v>549</v>
      </c>
      <c r="B479" s="1">
        <v>45261</v>
      </c>
      <c r="C479" t="s">
        <v>10</v>
      </c>
      <c r="D479" t="s">
        <v>25</v>
      </c>
      <c r="E479" t="s">
        <v>111</v>
      </c>
      <c r="F479">
        <v>3</v>
      </c>
      <c r="G479">
        <v>4329</v>
      </c>
      <c r="H479">
        <v>12987</v>
      </c>
      <c r="I479">
        <v>3242</v>
      </c>
      <c r="J479" t="s">
        <v>32</v>
      </c>
    </row>
    <row r="480" spans="1:10" x14ac:dyDescent="0.35">
      <c r="A480" t="s">
        <v>550</v>
      </c>
      <c r="B480" s="1">
        <v>45261</v>
      </c>
      <c r="C480" t="s">
        <v>19</v>
      </c>
      <c r="D480" t="s">
        <v>15</v>
      </c>
      <c r="E480" t="s">
        <v>21</v>
      </c>
      <c r="F480">
        <v>7</v>
      </c>
      <c r="G480">
        <v>4343</v>
      </c>
      <c r="H480">
        <v>30401</v>
      </c>
      <c r="I480">
        <v>7255</v>
      </c>
      <c r="J480" t="s">
        <v>22</v>
      </c>
    </row>
    <row r="481" spans="1:10" x14ac:dyDescent="0.35">
      <c r="A481" t="s">
        <v>551</v>
      </c>
      <c r="B481" s="1">
        <v>45240</v>
      </c>
      <c r="C481" t="s">
        <v>30</v>
      </c>
      <c r="D481" t="s">
        <v>40</v>
      </c>
      <c r="E481" t="s">
        <v>149</v>
      </c>
      <c r="F481">
        <v>8</v>
      </c>
      <c r="G481">
        <v>3392</v>
      </c>
      <c r="H481">
        <v>27136</v>
      </c>
      <c r="I481">
        <v>10808</v>
      </c>
      <c r="J481" t="s">
        <v>13</v>
      </c>
    </row>
    <row r="482" spans="1:10" x14ac:dyDescent="0.35">
      <c r="A482" t="s">
        <v>552</v>
      </c>
      <c r="B482" s="1">
        <v>45253</v>
      </c>
      <c r="C482" t="s">
        <v>19</v>
      </c>
      <c r="D482" t="s">
        <v>25</v>
      </c>
      <c r="E482" t="s">
        <v>153</v>
      </c>
      <c r="F482">
        <v>1</v>
      </c>
      <c r="G482">
        <v>1154</v>
      </c>
      <c r="H482">
        <v>1154</v>
      </c>
      <c r="I482">
        <v>327</v>
      </c>
      <c r="J482" t="s">
        <v>22</v>
      </c>
    </row>
    <row r="483" spans="1:10" x14ac:dyDescent="0.35">
      <c r="A483" t="s">
        <v>553</v>
      </c>
      <c r="B483" s="1">
        <v>45071</v>
      </c>
      <c r="C483" t="s">
        <v>24</v>
      </c>
      <c r="D483" t="s">
        <v>11</v>
      </c>
      <c r="E483" t="s">
        <v>168</v>
      </c>
      <c r="F483">
        <v>4</v>
      </c>
      <c r="G483">
        <v>1040</v>
      </c>
      <c r="H483">
        <v>4160</v>
      </c>
      <c r="I483">
        <v>1068</v>
      </c>
      <c r="J483" t="s">
        <v>17</v>
      </c>
    </row>
    <row r="484" spans="1:10" x14ac:dyDescent="0.35">
      <c r="A484" t="s">
        <v>554</v>
      </c>
      <c r="B484" s="1">
        <v>45213</v>
      </c>
      <c r="C484" t="s">
        <v>10</v>
      </c>
      <c r="D484" t="s">
        <v>20</v>
      </c>
      <c r="E484" t="s">
        <v>123</v>
      </c>
      <c r="F484">
        <v>6</v>
      </c>
      <c r="G484">
        <v>942</v>
      </c>
      <c r="H484">
        <v>5652</v>
      </c>
      <c r="I484">
        <v>973</v>
      </c>
      <c r="J484" t="s">
        <v>22</v>
      </c>
    </row>
    <row r="485" spans="1:10" x14ac:dyDescent="0.35">
      <c r="A485" t="s">
        <v>555</v>
      </c>
      <c r="B485" s="1">
        <v>44983</v>
      </c>
      <c r="C485" t="s">
        <v>24</v>
      </c>
      <c r="D485" t="s">
        <v>25</v>
      </c>
      <c r="E485" t="s">
        <v>64</v>
      </c>
      <c r="F485">
        <v>2</v>
      </c>
      <c r="G485">
        <v>2970</v>
      </c>
      <c r="H485">
        <v>5940</v>
      </c>
      <c r="I485">
        <v>1330</v>
      </c>
      <c r="J485" t="s">
        <v>13</v>
      </c>
    </row>
    <row r="486" spans="1:10" x14ac:dyDescent="0.35">
      <c r="A486" t="s">
        <v>556</v>
      </c>
      <c r="B486" s="1">
        <v>45114</v>
      </c>
      <c r="C486" t="s">
        <v>30</v>
      </c>
      <c r="D486" t="s">
        <v>15</v>
      </c>
      <c r="E486" t="s">
        <v>34</v>
      </c>
      <c r="F486">
        <v>6</v>
      </c>
      <c r="G486">
        <v>3173</v>
      </c>
      <c r="H486">
        <v>19038</v>
      </c>
      <c r="I486">
        <v>7332</v>
      </c>
      <c r="J486" t="s">
        <v>13</v>
      </c>
    </row>
    <row r="487" spans="1:10" x14ac:dyDescent="0.35">
      <c r="A487" t="s">
        <v>557</v>
      </c>
      <c r="B487" s="1">
        <v>44961</v>
      </c>
      <c r="C487" t="s">
        <v>10</v>
      </c>
      <c r="D487" t="s">
        <v>40</v>
      </c>
      <c r="E487" t="s">
        <v>111</v>
      </c>
      <c r="F487">
        <v>10</v>
      </c>
      <c r="G487">
        <v>3853</v>
      </c>
      <c r="H487">
        <v>38530</v>
      </c>
      <c r="I487">
        <v>5505</v>
      </c>
      <c r="J487" t="s">
        <v>13</v>
      </c>
    </row>
    <row r="488" spans="1:10" x14ac:dyDescent="0.35">
      <c r="A488" t="s">
        <v>558</v>
      </c>
      <c r="B488" s="1">
        <v>44954</v>
      </c>
      <c r="C488" t="s">
        <v>24</v>
      </c>
      <c r="D488" t="s">
        <v>20</v>
      </c>
      <c r="E488" t="s">
        <v>100</v>
      </c>
      <c r="F488">
        <v>7</v>
      </c>
      <c r="G488">
        <v>4718</v>
      </c>
      <c r="H488">
        <v>33026</v>
      </c>
      <c r="I488">
        <v>8583</v>
      </c>
      <c r="J488" t="s">
        <v>13</v>
      </c>
    </row>
    <row r="489" spans="1:10" x14ac:dyDescent="0.35">
      <c r="A489" t="s">
        <v>559</v>
      </c>
      <c r="B489" s="1">
        <v>45063</v>
      </c>
      <c r="C489" t="s">
        <v>19</v>
      </c>
      <c r="D489" t="s">
        <v>40</v>
      </c>
      <c r="E489" t="s">
        <v>102</v>
      </c>
      <c r="F489">
        <v>8</v>
      </c>
      <c r="G489">
        <v>501</v>
      </c>
      <c r="H489">
        <v>4008</v>
      </c>
      <c r="I489">
        <v>773</v>
      </c>
      <c r="J489" t="s">
        <v>17</v>
      </c>
    </row>
    <row r="490" spans="1:10" x14ac:dyDescent="0.35">
      <c r="A490" t="s">
        <v>560</v>
      </c>
      <c r="B490" s="1">
        <v>45231</v>
      </c>
      <c r="C490" t="s">
        <v>24</v>
      </c>
      <c r="D490" t="s">
        <v>20</v>
      </c>
      <c r="E490" t="s">
        <v>208</v>
      </c>
      <c r="F490">
        <v>10</v>
      </c>
      <c r="G490">
        <v>2629</v>
      </c>
      <c r="H490">
        <v>26290</v>
      </c>
      <c r="I490">
        <v>8069</v>
      </c>
      <c r="J490" t="s">
        <v>13</v>
      </c>
    </row>
    <row r="491" spans="1:10" x14ac:dyDescent="0.35">
      <c r="A491" t="s">
        <v>561</v>
      </c>
      <c r="B491" s="1">
        <v>45060</v>
      </c>
      <c r="C491" t="s">
        <v>10</v>
      </c>
      <c r="D491" t="s">
        <v>11</v>
      </c>
      <c r="E491" t="s">
        <v>12</v>
      </c>
      <c r="F491">
        <v>10</v>
      </c>
      <c r="G491">
        <v>4075</v>
      </c>
      <c r="H491">
        <v>40750</v>
      </c>
      <c r="I491">
        <v>6046</v>
      </c>
      <c r="J491" t="s">
        <v>13</v>
      </c>
    </row>
    <row r="492" spans="1:10" x14ac:dyDescent="0.35">
      <c r="A492" t="s">
        <v>562</v>
      </c>
      <c r="B492" s="1">
        <v>45015</v>
      </c>
      <c r="C492" t="s">
        <v>10</v>
      </c>
      <c r="D492" t="s">
        <v>15</v>
      </c>
      <c r="E492" t="s">
        <v>113</v>
      </c>
      <c r="F492">
        <v>1</v>
      </c>
      <c r="G492">
        <v>1613</v>
      </c>
      <c r="H492">
        <v>1613</v>
      </c>
      <c r="I492">
        <v>601</v>
      </c>
      <c r="J492" t="s">
        <v>13</v>
      </c>
    </row>
    <row r="493" spans="1:10" x14ac:dyDescent="0.35">
      <c r="A493" t="s">
        <v>563</v>
      </c>
      <c r="B493" s="1">
        <v>45135</v>
      </c>
      <c r="C493" t="s">
        <v>24</v>
      </c>
      <c r="D493" t="s">
        <v>40</v>
      </c>
      <c r="E493" t="s">
        <v>58</v>
      </c>
      <c r="F493">
        <v>2</v>
      </c>
      <c r="G493">
        <v>2652</v>
      </c>
      <c r="H493">
        <v>5304</v>
      </c>
      <c r="I493">
        <v>1726</v>
      </c>
      <c r="J493" t="s">
        <v>32</v>
      </c>
    </row>
    <row r="494" spans="1:10" x14ac:dyDescent="0.35">
      <c r="A494" t="s">
        <v>564</v>
      </c>
      <c r="B494" s="1">
        <v>45077</v>
      </c>
      <c r="C494" t="s">
        <v>10</v>
      </c>
      <c r="D494" t="s">
        <v>40</v>
      </c>
      <c r="E494" t="s">
        <v>38</v>
      </c>
      <c r="F494">
        <v>10</v>
      </c>
      <c r="G494">
        <v>4097</v>
      </c>
      <c r="H494">
        <v>40970</v>
      </c>
      <c r="I494">
        <v>8435</v>
      </c>
      <c r="J494" t="s">
        <v>17</v>
      </c>
    </row>
    <row r="495" spans="1:10" x14ac:dyDescent="0.35">
      <c r="A495" t="s">
        <v>565</v>
      </c>
      <c r="B495" s="1">
        <v>45004</v>
      </c>
      <c r="C495" t="s">
        <v>19</v>
      </c>
      <c r="D495" t="s">
        <v>25</v>
      </c>
      <c r="E495" t="s">
        <v>365</v>
      </c>
      <c r="F495">
        <v>10</v>
      </c>
      <c r="G495">
        <v>2400</v>
      </c>
      <c r="H495">
        <v>24000</v>
      </c>
      <c r="I495">
        <v>8474</v>
      </c>
      <c r="J495" t="s">
        <v>13</v>
      </c>
    </row>
    <row r="496" spans="1:10" x14ac:dyDescent="0.35">
      <c r="A496" t="s">
        <v>566</v>
      </c>
      <c r="B496" s="1">
        <v>45128</v>
      </c>
      <c r="C496" t="s">
        <v>30</v>
      </c>
      <c r="D496" t="s">
        <v>40</v>
      </c>
      <c r="E496" t="s">
        <v>216</v>
      </c>
      <c r="F496">
        <v>4</v>
      </c>
      <c r="G496">
        <v>2620</v>
      </c>
      <c r="H496">
        <v>10480</v>
      </c>
      <c r="I496">
        <v>4174</v>
      </c>
      <c r="J496" t="s">
        <v>22</v>
      </c>
    </row>
    <row r="497" spans="1:10" x14ac:dyDescent="0.35">
      <c r="A497" t="s">
        <v>567</v>
      </c>
      <c r="B497" s="1">
        <v>45209</v>
      </c>
      <c r="C497" t="s">
        <v>30</v>
      </c>
      <c r="D497" t="s">
        <v>15</v>
      </c>
      <c r="E497" t="s">
        <v>55</v>
      </c>
      <c r="F497">
        <v>3</v>
      </c>
      <c r="G497">
        <v>3545</v>
      </c>
      <c r="H497">
        <v>10635</v>
      </c>
      <c r="I497">
        <v>1714</v>
      </c>
      <c r="J497" t="s">
        <v>22</v>
      </c>
    </row>
    <row r="498" spans="1:10" x14ac:dyDescent="0.35">
      <c r="A498" t="s">
        <v>568</v>
      </c>
      <c r="B498" s="1">
        <v>44969</v>
      </c>
      <c r="C498" t="s">
        <v>24</v>
      </c>
      <c r="D498" t="s">
        <v>11</v>
      </c>
      <c r="E498" t="s">
        <v>89</v>
      </c>
      <c r="F498">
        <v>1</v>
      </c>
      <c r="G498">
        <v>1166</v>
      </c>
      <c r="H498">
        <v>1166</v>
      </c>
      <c r="I498">
        <v>433</v>
      </c>
      <c r="J498" t="s">
        <v>22</v>
      </c>
    </row>
    <row r="499" spans="1:10" x14ac:dyDescent="0.35">
      <c r="A499" t="s">
        <v>569</v>
      </c>
      <c r="B499" s="1">
        <v>44993</v>
      </c>
      <c r="C499" t="s">
        <v>24</v>
      </c>
      <c r="D499" t="s">
        <v>15</v>
      </c>
      <c r="E499" t="s">
        <v>34</v>
      </c>
      <c r="F499">
        <v>6</v>
      </c>
      <c r="G499">
        <v>4321</v>
      </c>
      <c r="H499">
        <v>25926</v>
      </c>
      <c r="I499">
        <v>9032</v>
      </c>
      <c r="J499" t="s">
        <v>32</v>
      </c>
    </row>
    <row r="500" spans="1:10" x14ac:dyDescent="0.35">
      <c r="A500" t="s">
        <v>570</v>
      </c>
      <c r="B500" s="1">
        <v>45056</v>
      </c>
      <c r="C500" t="s">
        <v>10</v>
      </c>
      <c r="D500" t="s">
        <v>25</v>
      </c>
      <c r="E500" t="s">
        <v>68</v>
      </c>
      <c r="F500">
        <v>5</v>
      </c>
      <c r="G500">
        <v>2579</v>
      </c>
      <c r="H500">
        <v>12895</v>
      </c>
      <c r="I500">
        <v>3121</v>
      </c>
      <c r="J500" t="s">
        <v>32</v>
      </c>
    </row>
    <row r="501" spans="1:10" x14ac:dyDescent="0.35">
      <c r="A501" t="s">
        <v>571</v>
      </c>
      <c r="B501" s="1">
        <v>44942</v>
      </c>
      <c r="C501" t="s">
        <v>30</v>
      </c>
      <c r="D501" t="s">
        <v>40</v>
      </c>
      <c r="E501" t="s">
        <v>58</v>
      </c>
      <c r="F501">
        <v>4</v>
      </c>
      <c r="G501">
        <v>3429</v>
      </c>
      <c r="H501">
        <v>13716</v>
      </c>
      <c r="I501">
        <v>3222</v>
      </c>
      <c r="J501" t="s">
        <v>17</v>
      </c>
    </row>
    <row r="502" spans="1:10" x14ac:dyDescent="0.35">
      <c r="A502" t="s">
        <v>572</v>
      </c>
      <c r="B502" s="1">
        <v>45058</v>
      </c>
      <c r="C502" t="s">
        <v>30</v>
      </c>
      <c r="D502" t="s">
        <v>15</v>
      </c>
      <c r="E502" t="s">
        <v>64</v>
      </c>
      <c r="F502">
        <v>8</v>
      </c>
      <c r="G502">
        <v>2116</v>
      </c>
      <c r="H502">
        <v>16928</v>
      </c>
      <c r="I502">
        <v>2268</v>
      </c>
      <c r="J502" t="s">
        <v>32</v>
      </c>
    </row>
    <row r="503" spans="1:10" x14ac:dyDescent="0.35">
      <c r="A503" t="s">
        <v>573</v>
      </c>
      <c r="B503" s="1">
        <v>45048</v>
      </c>
      <c r="C503" t="s">
        <v>24</v>
      </c>
      <c r="D503" t="s">
        <v>20</v>
      </c>
      <c r="E503" t="s">
        <v>87</v>
      </c>
      <c r="F503">
        <v>8</v>
      </c>
      <c r="G503">
        <v>532</v>
      </c>
      <c r="H503">
        <v>4256</v>
      </c>
      <c r="I503">
        <v>1699</v>
      </c>
      <c r="J503" t="s">
        <v>22</v>
      </c>
    </row>
    <row r="504" spans="1:10" x14ac:dyDescent="0.35">
      <c r="A504" t="s">
        <v>574</v>
      </c>
      <c r="B504" s="1">
        <v>45269</v>
      </c>
      <c r="C504" t="s">
        <v>19</v>
      </c>
      <c r="D504" t="s">
        <v>40</v>
      </c>
      <c r="E504" t="s">
        <v>51</v>
      </c>
      <c r="F504">
        <v>1</v>
      </c>
      <c r="G504">
        <v>3765</v>
      </c>
      <c r="H504">
        <v>3765</v>
      </c>
      <c r="I504">
        <v>805</v>
      </c>
      <c r="J504" t="s">
        <v>17</v>
      </c>
    </row>
    <row r="505" spans="1:10" x14ac:dyDescent="0.35">
      <c r="A505" t="s">
        <v>575</v>
      </c>
      <c r="B505" s="1">
        <v>45140</v>
      </c>
      <c r="C505" t="s">
        <v>24</v>
      </c>
      <c r="D505" t="s">
        <v>20</v>
      </c>
      <c r="E505" t="s">
        <v>41</v>
      </c>
      <c r="F505">
        <v>3</v>
      </c>
      <c r="G505">
        <v>4890</v>
      </c>
      <c r="H505">
        <v>14670</v>
      </c>
      <c r="I505">
        <v>4084</v>
      </c>
      <c r="J505" t="s">
        <v>32</v>
      </c>
    </row>
    <row r="506" spans="1:10" x14ac:dyDescent="0.35">
      <c r="A506" t="s">
        <v>576</v>
      </c>
      <c r="B506" s="1">
        <v>45246</v>
      </c>
      <c r="C506" t="s">
        <v>10</v>
      </c>
      <c r="D506" t="s">
        <v>40</v>
      </c>
      <c r="E506" t="s">
        <v>118</v>
      </c>
      <c r="F506">
        <v>1</v>
      </c>
      <c r="G506">
        <v>4201</v>
      </c>
      <c r="H506">
        <v>4201</v>
      </c>
      <c r="I506">
        <v>1522</v>
      </c>
      <c r="J506" t="s">
        <v>22</v>
      </c>
    </row>
    <row r="507" spans="1:10" x14ac:dyDescent="0.35">
      <c r="A507" t="s">
        <v>577</v>
      </c>
      <c r="B507" s="1">
        <v>44942</v>
      </c>
      <c r="C507" t="s">
        <v>30</v>
      </c>
      <c r="D507" t="s">
        <v>15</v>
      </c>
      <c r="E507" t="s">
        <v>123</v>
      </c>
      <c r="F507">
        <v>1</v>
      </c>
      <c r="G507">
        <v>3969</v>
      </c>
      <c r="H507">
        <v>3969</v>
      </c>
      <c r="I507">
        <v>431</v>
      </c>
      <c r="J507" t="s">
        <v>17</v>
      </c>
    </row>
    <row r="508" spans="1:10" x14ac:dyDescent="0.35">
      <c r="A508" t="s">
        <v>578</v>
      </c>
      <c r="B508" s="1">
        <v>45156</v>
      </c>
      <c r="C508" t="s">
        <v>10</v>
      </c>
      <c r="D508" t="s">
        <v>40</v>
      </c>
      <c r="E508" t="s">
        <v>218</v>
      </c>
      <c r="F508">
        <v>10</v>
      </c>
      <c r="G508">
        <v>3275</v>
      </c>
      <c r="H508">
        <v>32750</v>
      </c>
      <c r="I508">
        <v>3301</v>
      </c>
      <c r="J508" t="s">
        <v>13</v>
      </c>
    </row>
    <row r="509" spans="1:10" x14ac:dyDescent="0.35">
      <c r="A509" t="s">
        <v>579</v>
      </c>
      <c r="B509" s="1">
        <v>45152</v>
      </c>
      <c r="C509" t="s">
        <v>30</v>
      </c>
      <c r="D509" t="s">
        <v>20</v>
      </c>
      <c r="E509" t="s">
        <v>92</v>
      </c>
      <c r="F509">
        <v>3</v>
      </c>
      <c r="G509">
        <v>569</v>
      </c>
      <c r="H509">
        <v>1707</v>
      </c>
      <c r="I509">
        <v>595</v>
      </c>
      <c r="J509" t="s">
        <v>13</v>
      </c>
    </row>
    <row r="510" spans="1:10" x14ac:dyDescent="0.35">
      <c r="A510" t="s">
        <v>580</v>
      </c>
      <c r="B510" s="1">
        <v>45029</v>
      </c>
      <c r="C510" t="s">
        <v>30</v>
      </c>
      <c r="D510" t="s">
        <v>20</v>
      </c>
      <c r="E510" t="s">
        <v>34</v>
      </c>
      <c r="F510">
        <v>1</v>
      </c>
      <c r="G510">
        <v>2418</v>
      </c>
      <c r="H510">
        <v>2418</v>
      </c>
      <c r="I510">
        <v>847</v>
      </c>
      <c r="J510" t="s">
        <v>32</v>
      </c>
    </row>
    <row r="511" spans="1:10" x14ac:dyDescent="0.35">
      <c r="A511" t="s">
        <v>581</v>
      </c>
      <c r="B511" s="1">
        <v>45174</v>
      </c>
      <c r="C511" t="s">
        <v>30</v>
      </c>
      <c r="D511" t="s">
        <v>11</v>
      </c>
      <c r="E511" t="s">
        <v>128</v>
      </c>
      <c r="F511">
        <v>3</v>
      </c>
      <c r="G511">
        <v>3080</v>
      </c>
      <c r="H511">
        <v>9240</v>
      </c>
      <c r="I511">
        <v>2608</v>
      </c>
      <c r="J511" t="s">
        <v>32</v>
      </c>
    </row>
    <row r="512" spans="1:10" x14ac:dyDescent="0.35">
      <c r="A512" t="s">
        <v>582</v>
      </c>
      <c r="B512" s="1">
        <v>45292</v>
      </c>
      <c r="C512" t="s">
        <v>30</v>
      </c>
      <c r="D512" t="s">
        <v>11</v>
      </c>
      <c r="E512" t="s">
        <v>137</v>
      </c>
      <c r="F512">
        <v>8</v>
      </c>
      <c r="G512">
        <v>4143</v>
      </c>
      <c r="H512">
        <v>33144</v>
      </c>
      <c r="I512">
        <v>11258</v>
      </c>
      <c r="J512" t="s">
        <v>22</v>
      </c>
    </row>
    <row r="513" spans="1:10" x14ac:dyDescent="0.35">
      <c r="A513" t="s">
        <v>583</v>
      </c>
      <c r="B513" s="1">
        <v>45110</v>
      </c>
      <c r="C513" t="s">
        <v>19</v>
      </c>
      <c r="D513" t="s">
        <v>25</v>
      </c>
      <c r="E513" t="s">
        <v>58</v>
      </c>
      <c r="F513">
        <v>5</v>
      </c>
      <c r="G513">
        <v>2588</v>
      </c>
      <c r="H513">
        <v>12940</v>
      </c>
      <c r="I513">
        <v>4405</v>
      </c>
      <c r="J513" t="s">
        <v>32</v>
      </c>
    </row>
    <row r="514" spans="1:10" x14ac:dyDescent="0.35">
      <c r="A514" t="s">
        <v>584</v>
      </c>
      <c r="B514" s="1">
        <v>45069</v>
      </c>
      <c r="C514" t="s">
        <v>30</v>
      </c>
      <c r="D514" t="s">
        <v>15</v>
      </c>
      <c r="E514" t="s">
        <v>80</v>
      </c>
      <c r="F514">
        <v>2</v>
      </c>
      <c r="G514">
        <v>2753</v>
      </c>
      <c r="H514">
        <v>5506</v>
      </c>
      <c r="I514">
        <v>926</v>
      </c>
      <c r="J514" t="s">
        <v>22</v>
      </c>
    </row>
    <row r="515" spans="1:10" x14ac:dyDescent="0.35">
      <c r="A515" t="s">
        <v>585</v>
      </c>
      <c r="B515" s="1">
        <v>45100</v>
      </c>
      <c r="C515" t="s">
        <v>30</v>
      </c>
      <c r="D515" t="s">
        <v>15</v>
      </c>
      <c r="E515" t="s">
        <v>71</v>
      </c>
      <c r="F515">
        <v>2</v>
      </c>
      <c r="G515">
        <v>2760</v>
      </c>
      <c r="H515">
        <v>5520</v>
      </c>
      <c r="I515">
        <v>1409</v>
      </c>
      <c r="J515" t="s">
        <v>22</v>
      </c>
    </row>
    <row r="516" spans="1:10" x14ac:dyDescent="0.35">
      <c r="A516" t="s">
        <v>586</v>
      </c>
      <c r="B516" s="1">
        <v>45116</v>
      </c>
      <c r="C516" t="s">
        <v>24</v>
      </c>
      <c r="D516" t="s">
        <v>20</v>
      </c>
      <c r="E516" t="s">
        <v>168</v>
      </c>
      <c r="F516">
        <v>7</v>
      </c>
      <c r="G516">
        <v>2618</v>
      </c>
      <c r="H516">
        <v>18326</v>
      </c>
      <c r="I516">
        <v>4628</v>
      </c>
      <c r="J516" t="s">
        <v>22</v>
      </c>
    </row>
    <row r="517" spans="1:10" x14ac:dyDescent="0.35">
      <c r="A517" t="s">
        <v>587</v>
      </c>
      <c r="B517" s="1">
        <v>45015</v>
      </c>
      <c r="C517" t="s">
        <v>19</v>
      </c>
      <c r="D517" t="s">
        <v>11</v>
      </c>
      <c r="E517" t="s">
        <v>211</v>
      </c>
      <c r="F517">
        <v>10</v>
      </c>
      <c r="G517">
        <v>3507</v>
      </c>
      <c r="H517">
        <v>35070</v>
      </c>
      <c r="I517">
        <v>13344</v>
      </c>
      <c r="J517" t="s">
        <v>32</v>
      </c>
    </row>
    <row r="518" spans="1:10" x14ac:dyDescent="0.35">
      <c r="A518" t="s">
        <v>588</v>
      </c>
      <c r="B518" s="1">
        <v>45201</v>
      </c>
      <c r="C518" t="s">
        <v>30</v>
      </c>
      <c r="D518" t="s">
        <v>15</v>
      </c>
      <c r="E518" t="s">
        <v>211</v>
      </c>
      <c r="F518">
        <v>10</v>
      </c>
      <c r="G518">
        <v>3023</v>
      </c>
      <c r="H518">
        <v>30230</v>
      </c>
      <c r="I518">
        <v>11377</v>
      </c>
      <c r="J518" t="s">
        <v>17</v>
      </c>
    </row>
    <row r="519" spans="1:10" x14ac:dyDescent="0.35">
      <c r="A519" t="s">
        <v>589</v>
      </c>
      <c r="B519" s="1">
        <v>45107</v>
      </c>
      <c r="C519" t="s">
        <v>19</v>
      </c>
      <c r="D519" t="s">
        <v>25</v>
      </c>
      <c r="E519" t="s">
        <v>365</v>
      </c>
      <c r="F519">
        <v>2</v>
      </c>
      <c r="G519">
        <v>2280</v>
      </c>
      <c r="H519">
        <v>4560</v>
      </c>
      <c r="I519">
        <v>716</v>
      </c>
      <c r="J519" t="s">
        <v>32</v>
      </c>
    </row>
    <row r="520" spans="1:10" x14ac:dyDescent="0.35">
      <c r="A520" t="s">
        <v>590</v>
      </c>
      <c r="B520" s="1">
        <v>45278</v>
      </c>
      <c r="C520" t="s">
        <v>24</v>
      </c>
      <c r="D520" t="s">
        <v>11</v>
      </c>
      <c r="E520" t="s">
        <v>89</v>
      </c>
      <c r="F520">
        <v>6</v>
      </c>
      <c r="G520">
        <v>4048</v>
      </c>
      <c r="H520">
        <v>24288</v>
      </c>
      <c r="I520">
        <v>3197</v>
      </c>
      <c r="J520" t="s">
        <v>32</v>
      </c>
    </row>
    <row r="521" spans="1:10" x14ac:dyDescent="0.35">
      <c r="A521" t="s">
        <v>591</v>
      </c>
      <c r="B521" s="1">
        <v>44970</v>
      </c>
      <c r="C521" t="s">
        <v>10</v>
      </c>
      <c r="D521" t="s">
        <v>40</v>
      </c>
      <c r="E521" t="s">
        <v>100</v>
      </c>
      <c r="F521">
        <v>7</v>
      </c>
      <c r="G521">
        <v>1166</v>
      </c>
      <c r="H521">
        <v>8162</v>
      </c>
      <c r="I521">
        <v>2991</v>
      </c>
      <c r="J521" t="s">
        <v>22</v>
      </c>
    </row>
    <row r="522" spans="1:10" x14ac:dyDescent="0.35">
      <c r="A522" t="s">
        <v>592</v>
      </c>
      <c r="B522" s="1">
        <v>45065</v>
      </c>
      <c r="C522" t="s">
        <v>30</v>
      </c>
      <c r="D522" t="s">
        <v>15</v>
      </c>
      <c r="E522" t="s">
        <v>218</v>
      </c>
      <c r="F522">
        <v>2</v>
      </c>
      <c r="G522">
        <v>2152</v>
      </c>
      <c r="H522">
        <v>4304</v>
      </c>
      <c r="I522">
        <v>1627</v>
      </c>
      <c r="J522" t="s">
        <v>13</v>
      </c>
    </row>
    <row r="523" spans="1:10" x14ac:dyDescent="0.35">
      <c r="A523" t="s">
        <v>593</v>
      </c>
      <c r="B523" s="1">
        <v>44971</v>
      </c>
      <c r="C523" t="s">
        <v>10</v>
      </c>
      <c r="D523" t="s">
        <v>25</v>
      </c>
      <c r="E523" t="s">
        <v>111</v>
      </c>
      <c r="F523">
        <v>8</v>
      </c>
      <c r="G523">
        <v>4085</v>
      </c>
      <c r="H523">
        <v>32680</v>
      </c>
      <c r="I523">
        <v>12033</v>
      </c>
      <c r="J523" t="s">
        <v>13</v>
      </c>
    </row>
    <row r="524" spans="1:10" x14ac:dyDescent="0.35">
      <c r="A524" t="s">
        <v>594</v>
      </c>
      <c r="B524" s="1">
        <v>45223</v>
      </c>
      <c r="C524" t="s">
        <v>24</v>
      </c>
      <c r="D524" t="s">
        <v>40</v>
      </c>
      <c r="E524" t="s">
        <v>87</v>
      </c>
      <c r="F524">
        <v>7</v>
      </c>
      <c r="G524">
        <v>4201</v>
      </c>
      <c r="H524">
        <v>29407</v>
      </c>
      <c r="I524">
        <v>4706</v>
      </c>
      <c r="J524" t="s">
        <v>13</v>
      </c>
    </row>
    <row r="525" spans="1:10" x14ac:dyDescent="0.35">
      <c r="A525" t="s">
        <v>595</v>
      </c>
      <c r="B525" s="1">
        <v>45117</v>
      </c>
      <c r="C525" t="s">
        <v>19</v>
      </c>
      <c r="D525" t="s">
        <v>40</v>
      </c>
      <c r="E525" t="s">
        <v>302</v>
      </c>
      <c r="F525">
        <v>9</v>
      </c>
      <c r="G525">
        <v>4149</v>
      </c>
      <c r="H525">
        <v>37341</v>
      </c>
      <c r="I525">
        <v>12011</v>
      </c>
      <c r="J525" t="s">
        <v>22</v>
      </c>
    </row>
    <row r="526" spans="1:10" x14ac:dyDescent="0.35">
      <c r="A526" t="s">
        <v>596</v>
      </c>
      <c r="B526" s="1">
        <v>44936</v>
      </c>
      <c r="C526" t="s">
        <v>30</v>
      </c>
      <c r="D526" t="s">
        <v>40</v>
      </c>
      <c r="E526" t="s">
        <v>113</v>
      </c>
      <c r="F526">
        <v>2</v>
      </c>
      <c r="G526">
        <v>1091</v>
      </c>
      <c r="H526">
        <v>2182</v>
      </c>
      <c r="I526">
        <v>772</v>
      </c>
      <c r="J526" t="s">
        <v>17</v>
      </c>
    </row>
    <row r="527" spans="1:10" x14ac:dyDescent="0.35">
      <c r="A527" t="s">
        <v>597</v>
      </c>
      <c r="B527" s="1">
        <v>45274</v>
      </c>
      <c r="C527" t="s">
        <v>10</v>
      </c>
      <c r="D527" t="s">
        <v>20</v>
      </c>
      <c r="E527" t="s">
        <v>12</v>
      </c>
      <c r="F527">
        <v>7</v>
      </c>
      <c r="G527">
        <v>3790</v>
      </c>
      <c r="H527">
        <v>26530</v>
      </c>
      <c r="I527">
        <v>3232</v>
      </c>
      <c r="J527" t="s">
        <v>13</v>
      </c>
    </row>
    <row r="528" spans="1:10" x14ac:dyDescent="0.35">
      <c r="A528" t="s">
        <v>598</v>
      </c>
      <c r="B528" s="1">
        <v>45208</v>
      </c>
      <c r="C528" t="s">
        <v>19</v>
      </c>
      <c r="D528" t="s">
        <v>40</v>
      </c>
      <c r="E528" t="s">
        <v>173</v>
      </c>
      <c r="F528">
        <v>2</v>
      </c>
      <c r="G528">
        <v>1043</v>
      </c>
      <c r="H528">
        <v>2086</v>
      </c>
      <c r="I528">
        <v>782</v>
      </c>
      <c r="J528" t="s">
        <v>17</v>
      </c>
    </row>
    <row r="529" spans="1:10" x14ac:dyDescent="0.35">
      <c r="A529" t="s">
        <v>599</v>
      </c>
      <c r="B529" s="1">
        <v>45154</v>
      </c>
      <c r="C529" t="s">
        <v>30</v>
      </c>
      <c r="D529" t="s">
        <v>15</v>
      </c>
      <c r="E529" t="s">
        <v>12</v>
      </c>
      <c r="F529">
        <v>9</v>
      </c>
      <c r="G529">
        <v>1965</v>
      </c>
      <c r="H529">
        <v>17685</v>
      </c>
      <c r="I529">
        <v>4289</v>
      </c>
      <c r="J529" t="s">
        <v>13</v>
      </c>
    </row>
    <row r="530" spans="1:10" x14ac:dyDescent="0.35">
      <c r="A530" t="s">
        <v>600</v>
      </c>
      <c r="B530" s="1">
        <v>44991</v>
      </c>
      <c r="C530" t="s">
        <v>24</v>
      </c>
      <c r="D530" t="s">
        <v>40</v>
      </c>
      <c r="E530" t="s">
        <v>68</v>
      </c>
      <c r="F530">
        <v>9</v>
      </c>
      <c r="G530">
        <v>3916</v>
      </c>
      <c r="H530">
        <v>35244</v>
      </c>
      <c r="I530">
        <v>12069</v>
      </c>
      <c r="J530" t="s">
        <v>17</v>
      </c>
    </row>
    <row r="531" spans="1:10" x14ac:dyDescent="0.35">
      <c r="A531" t="s">
        <v>601</v>
      </c>
      <c r="B531" s="1">
        <v>45005</v>
      </c>
      <c r="C531" t="s">
        <v>19</v>
      </c>
      <c r="D531" t="s">
        <v>40</v>
      </c>
      <c r="E531" t="s">
        <v>211</v>
      </c>
      <c r="F531">
        <v>3</v>
      </c>
      <c r="G531">
        <v>1131</v>
      </c>
      <c r="H531">
        <v>3393</v>
      </c>
      <c r="I531">
        <v>1100</v>
      </c>
      <c r="J531" t="s">
        <v>13</v>
      </c>
    </row>
    <row r="532" spans="1:10" x14ac:dyDescent="0.35">
      <c r="A532" t="s">
        <v>602</v>
      </c>
      <c r="B532" s="1">
        <v>45023</v>
      </c>
      <c r="C532" t="s">
        <v>19</v>
      </c>
      <c r="D532" t="s">
        <v>15</v>
      </c>
      <c r="E532" t="s">
        <v>80</v>
      </c>
      <c r="F532">
        <v>6</v>
      </c>
      <c r="G532">
        <v>2787</v>
      </c>
      <c r="H532">
        <v>16722</v>
      </c>
      <c r="I532">
        <v>2227</v>
      </c>
      <c r="J532" t="s">
        <v>17</v>
      </c>
    </row>
    <row r="533" spans="1:10" x14ac:dyDescent="0.35">
      <c r="A533" t="s">
        <v>603</v>
      </c>
      <c r="B533" s="1">
        <v>45194</v>
      </c>
      <c r="C533" t="s">
        <v>19</v>
      </c>
      <c r="D533" t="s">
        <v>20</v>
      </c>
      <c r="E533" t="s">
        <v>68</v>
      </c>
      <c r="F533">
        <v>2</v>
      </c>
      <c r="G533">
        <v>4951</v>
      </c>
      <c r="H533">
        <v>9902</v>
      </c>
      <c r="I533">
        <v>3495</v>
      </c>
      <c r="J533" t="s">
        <v>17</v>
      </c>
    </row>
    <row r="534" spans="1:10" x14ac:dyDescent="0.35">
      <c r="A534" t="s">
        <v>604</v>
      </c>
      <c r="B534" s="1">
        <v>45042</v>
      </c>
      <c r="C534" t="s">
        <v>19</v>
      </c>
      <c r="D534" t="s">
        <v>20</v>
      </c>
      <c r="E534" t="s">
        <v>173</v>
      </c>
      <c r="F534">
        <v>7</v>
      </c>
      <c r="G534">
        <v>3951</v>
      </c>
      <c r="H534">
        <v>27657</v>
      </c>
      <c r="I534">
        <v>10896</v>
      </c>
      <c r="J534" t="s">
        <v>17</v>
      </c>
    </row>
    <row r="535" spans="1:10" x14ac:dyDescent="0.35">
      <c r="A535" t="s">
        <v>605</v>
      </c>
      <c r="B535" s="1">
        <v>45284</v>
      </c>
      <c r="C535" t="s">
        <v>10</v>
      </c>
      <c r="D535" t="s">
        <v>11</v>
      </c>
      <c r="E535" t="s">
        <v>28</v>
      </c>
      <c r="F535">
        <v>3</v>
      </c>
      <c r="G535">
        <v>4883</v>
      </c>
      <c r="H535">
        <v>14649</v>
      </c>
      <c r="I535">
        <v>4578</v>
      </c>
      <c r="J535" t="s">
        <v>17</v>
      </c>
    </row>
    <row r="536" spans="1:10" x14ac:dyDescent="0.35">
      <c r="A536" t="s">
        <v>606</v>
      </c>
      <c r="B536" s="1">
        <v>45244</v>
      </c>
      <c r="C536" t="s">
        <v>19</v>
      </c>
      <c r="D536" t="s">
        <v>40</v>
      </c>
      <c r="E536" t="s">
        <v>179</v>
      </c>
      <c r="F536">
        <v>10</v>
      </c>
      <c r="G536">
        <v>2528</v>
      </c>
      <c r="H536">
        <v>25280</v>
      </c>
      <c r="I536">
        <v>9483</v>
      </c>
      <c r="J536" t="s">
        <v>32</v>
      </c>
    </row>
    <row r="537" spans="1:10" x14ac:dyDescent="0.35">
      <c r="A537" t="s">
        <v>607</v>
      </c>
      <c r="B537" s="1">
        <v>45254</v>
      </c>
      <c r="C537" t="s">
        <v>10</v>
      </c>
      <c r="D537" t="s">
        <v>25</v>
      </c>
      <c r="E537" t="s">
        <v>16</v>
      </c>
      <c r="F537">
        <v>1</v>
      </c>
      <c r="G537">
        <v>1692</v>
      </c>
      <c r="H537">
        <v>1692</v>
      </c>
      <c r="I537">
        <v>247</v>
      </c>
      <c r="J537" t="s">
        <v>13</v>
      </c>
    </row>
    <row r="538" spans="1:10" x14ac:dyDescent="0.35">
      <c r="A538" t="s">
        <v>608</v>
      </c>
      <c r="B538" s="1">
        <v>45218</v>
      </c>
      <c r="C538" t="s">
        <v>30</v>
      </c>
      <c r="D538" t="s">
        <v>25</v>
      </c>
      <c r="E538" t="s">
        <v>153</v>
      </c>
      <c r="F538">
        <v>7</v>
      </c>
      <c r="G538">
        <v>1884</v>
      </c>
      <c r="H538">
        <v>13188</v>
      </c>
      <c r="I538">
        <v>3992</v>
      </c>
      <c r="J538" t="s">
        <v>13</v>
      </c>
    </row>
    <row r="539" spans="1:10" x14ac:dyDescent="0.35">
      <c r="A539" t="s">
        <v>609</v>
      </c>
      <c r="B539" s="1">
        <v>44986</v>
      </c>
      <c r="C539" t="s">
        <v>10</v>
      </c>
      <c r="D539" t="s">
        <v>11</v>
      </c>
      <c r="E539" t="s">
        <v>113</v>
      </c>
      <c r="F539">
        <v>5</v>
      </c>
      <c r="G539">
        <v>1947</v>
      </c>
      <c r="H539">
        <v>9735</v>
      </c>
      <c r="I539">
        <v>1476</v>
      </c>
      <c r="J539" t="s">
        <v>32</v>
      </c>
    </row>
    <row r="540" spans="1:10" x14ac:dyDescent="0.35">
      <c r="A540" t="s">
        <v>610</v>
      </c>
      <c r="B540" s="1">
        <v>45108</v>
      </c>
      <c r="C540" t="s">
        <v>30</v>
      </c>
      <c r="D540" t="s">
        <v>20</v>
      </c>
      <c r="E540" t="s">
        <v>92</v>
      </c>
      <c r="F540">
        <v>1</v>
      </c>
      <c r="G540">
        <v>4845</v>
      </c>
      <c r="H540">
        <v>4845</v>
      </c>
      <c r="I540">
        <v>1024</v>
      </c>
      <c r="J540" t="s">
        <v>22</v>
      </c>
    </row>
    <row r="541" spans="1:10" x14ac:dyDescent="0.35">
      <c r="A541" t="s">
        <v>611</v>
      </c>
      <c r="B541" s="1">
        <v>45188</v>
      </c>
      <c r="C541" t="s">
        <v>24</v>
      </c>
      <c r="D541" t="s">
        <v>15</v>
      </c>
      <c r="E541" t="s">
        <v>55</v>
      </c>
      <c r="F541">
        <v>10</v>
      </c>
      <c r="G541">
        <v>4225</v>
      </c>
      <c r="H541">
        <v>42250</v>
      </c>
      <c r="I541">
        <v>9168</v>
      </c>
      <c r="J541" t="s">
        <v>17</v>
      </c>
    </row>
    <row r="542" spans="1:10" x14ac:dyDescent="0.35">
      <c r="A542" t="s">
        <v>612</v>
      </c>
      <c r="B542" s="1">
        <v>44963</v>
      </c>
      <c r="C542" t="s">
        <v>24</v>
      </c>
      <c r="D542" t="s">
        <v>25</v>
      </c>
      <c r="E542" t="s">
        <v>365</v>
      </c>
      <c r="F542">
        <v>10</v>
      </c>
      <c r="G542">
        <v>2891</v>
      </c>
      <c r="H542">
        <v>28910</v>
      </c>
      <c r="I542">
        <v>6084</v>
      </c>
      <c r="J542" t="s">
        <v>32</v>
      </c>
    </row>
    <row r="543" spans="1:10" x14ac:dyDescent="0.35">
      <c r="A543" t="s">
        <v>613</v>
      </c>
      <c r="B543" s="1">
        <v>44931</v>
      </c>
      <c r="C543" t="s">
        <v>30</v>
      </c>
      <c r="D543" t="s">
        <v>25</v>
      </c>
      <c r="E543" t="s">
        <v>173</v>
      </c>
      <c r="F543">
        <v>5</v>
      </c>
      <c r="G543">
        <v>568</v>
      </c>
      <c r="H543">
        <v>2840</v>
      </c>
      <c r="I543">
        <v>515</v>
      </c>
      <c r="J543" t="s">
        <v>22</v>
      </c>
    </row>
    <row r="544" spans="1:10" x14ac:dyDescent="0.35">
      <c r="A544" t="s">
        <v>614</v>
      </c>
      <c r="B544" s="1">
        <v>45114</v>
      </c>
      <c r="C544" t="s">
        <v>24</v>
      </c>
      <c r="D544" t="s">
        <v>11</v>
      </c>
      <c r="E544" t="s">
        <v>130</v>
      </c>
      <c r="F544">
        <v>8</v>
      </c>
      <c r="G544">
        <v>2879</v>
      </c>
      <c r="H544">
        <v>23032</v>
      </c>
      <c r="I544">
        <v>5290</v>
      </c>
      <c r="J544" t="s">
        <v>13</v>
      </c>
    </row>
    <row r="545" spans="1:10" x14ac:dyDescent="0.35">
      <c r="A545" t="s">
        <v>615</v>
      </c>
      <c r="B545" s="1">
        <v>44955</v>
      </c>
      <c r="C545" t="s">
        <v>19</v>
      </c>
      <c r="D545" t="s">
        <v>20</v>
      </c>
      <c r="E545" t="s">
        <v>12</v>
      </c>
      <c r="F545">
        <v>6</v>
      </c>
      <c r="G545">
        <v>1981</v>
      </c>
      <c r="H545">
        <v>11886</v>
      </c>
      <c r="I545">
        <v>1746</v>
      </c>
      <c r="J545" t="s">
        <v>32</v>
      </c>
    </row>
    <row r="546" spans="1:10" x14ac:dyDescent="0.35">
      <c r="A546" t="s">
        <v>616</v>
      </c>
      <c r="B546" s="1">
        <v>45182</v>
      </c>
      <c r="C546" t="s">
        <v>24</v>
      </c>
      <c r="D546" t="s">
        <v>40</v>
      </c>
      <c r="E546" t="s">
        <v>41</v>
      </c>
      <c r="F546">
        <v>7</v>
      </c>
      <c r="G546">
        <v>4582</v>
      </c>
      <c r="H546">
        <v>32074</v>
      </c>
      <c r="I546">
        <v>9469</v>
      </c>
      <c r="J546" t="s">
        <v>17</v>
      </c>
    </row>
    <row r="547" spans="1:10" x14ac:dyDescent="0.35">
      <c r="A547" t="s">
        <v>617</v>
      </c>
      <c r="B547" s="1">
        <v>45099</v>
      </c>
      <c r="C547" t="s">
        <v>19</v>
      </c>
      <c r="D547" t="s">
        <v>40</v>
      </c>
      <c r="E547" t="s">
        <v>34</v>
      </c>
      <c r="F547">
        <v>6</v>
      </c>
      <c r="G547">
        <v>2829</v>
      </c>
      <c r="H547">
        <v>16974</v>
      </c>
      <c r="I547">
        <v>3896</v>
      </c>
      <c r="J547" t="s">
        <v>32</v>
      </c>
    </row>
    <row r="548" spans="1:10" x14ac:dyDescent="0.35">
      <c r="A548" t="s">
        <v>618</v>
      </c>
      <c r="B548" s="1">
        <v>45289</v>
      </c>
      <c r="C548" t="s">
        <v>24</v>
      </c>
      <c r="D548" t="s">
        <v>15</v>
      </c>
      <c r="E548" t="s">
        <v>102</v>
      </c>
      <c r="F548">
        <v>5</v>
      </c>
      <c r="G548">
        <v>1941</v>
      </c>
      <c r="H548">
        <v>9705</v>
      </c>
      <c r="I548">
        <v>2540</v>
      </c>
      <c r="J548" t="s">
        <v>17</v>
      </c>
    </row>
    <row r="549" spans="1:10" x14ac:dyDescent="0.35">
      <c r="A549" t="s">
        <v>619</v>
      </c>
      <c r="B549" s="1">
        <v>45259</v>
      </c>
      <c r="C549" t="s">
        <v>24</v>
      </c>
      <c r="D549" t="s">
        <v>11</v>
      </c>
      <c r="E549" t="s">
        <v>365</v>
      </c>
      <c r="F549">
        <v>8</v>
      </c>
      <c r="G549">
        <v>3498</v>
      </c>
      <c r="H549">
        <v>27984</v>
      </c>
      <c r="I549">
        <v>10379</v>
      </c>
      <c r="J549" t="s">
        <v>32</v>
      </c>
    </row>
    <row r="550" spans="1:10" x14ac:dyDescent="0.35">
      <c r="A550" t="s">
        <v>620</v>
      </c>
      <c r="B550" s="1">
        <v>45262</v>
      </c>
      <c r="C550" t="s">
        <v>30</v>
      </c>
      <c r="D550" t="s">
        <v>20</v>
      </c>
      <c r="E550" t="s">
        <v>62</v>
      </c>
      <c r="F550">
        <v>3</v>
      </c>
      <c r="G550">
        <v>1277</v>
      </c>
      <c r="H550">
        <v>3831</v>
      </c>
      <c r="I550">
        <v>533</v>
      </c>
      <c r="J550" t="s">
        <v>32</v>
      </c>
    </row>
    <row r="551" spans="1:10" x14ac:dyDescent="0.35">
      <c r="A551" t="s">
        <v>621</v>
      </c>
      <c r="B551" s="1">
        <v>45107</v>
      </c>
      <c r="C551" t="s">
        <v>10</v>
      </c>
      <c r="D551" t="s">
        <v>25</v>
      </c>
      <c r="E551" t="s">
        <v>216</v>
      </c>
      <c r="F551">
        <v>6</v>
      </c>
      <c r="G551">
        <v>3629</v>
      </c>
      <c r="H551">
        <v>21774</v>
      </c>
      <c r="I551">
        <v>8448</v>
      </c>
      <c r="J551" t="s">
        <v>22</v>
      </c>
    </row>
    <row r="552" spans="1:10" x14ac:dyDescent="0.35">
      <c r="A552" t="s">
        <v>622</v>
      </c>
      <c r="B552" s="1">
        <v>44968</v>
      </c>
      <c r="C552" t="s">
        <v>10</v>
      </c>
      <c r="D552" t="s">
        <v>15</v>
      </c>
      <c r="E552" t="s">
        <v>68</v>
      </c>
      <c r="F552">
        <v>5</v>
      </c>
      <c r="G552">
        <v>1788</v>
      </c>
      <c r="H552">
        <v>8940</v>
      </c>
      <c r="I552">
        <v>1979</v>
      </c>
      <c r="J552" t="s">
        <v>17</v>
      </c>
    </row>
    <row r="553" spans="1:10" x14ac:dyDescent="0.35">
      <c r="A553" t="s">
        <v>623</v>
      </c>
      <c r="B553" s="1">
        <v>45249</v>
      </c>
      <c r="C553" t="s">
        <v>30</v>
      </c>
      <c r="D553" t="s">
        <v>25</v>
      </c>
      <c r="E553" t="s">
        <v>302</v>
      </c>
      <c r="F553">
        <v>3</v>
      </c>
      <c r="G553">
        <v>4387</v>
      </c>
      <c r="H553">
        <v>13161</v>
      </c>
      <c r="I553">
        <v>3315</v>
      </c>
      <c r="J553" t="s">
        <v>22</v>
      </c>
    </row>
    <row r="554" spans="1:10" x14ac:dyDescent="0.35">
      <c r="A554" t="s">
        <v>624</v>
      </c>
      <c r="B554" s="1">
        <v>45095</v>
      </c>
      <c r="C554" t="s">
        <v>30</v>
      </c>
      <c r="D554" t="s">
        <v>15</v>
      </c>
      <c r="E554" t="s">
        <v>34</v>
      </c>
      <c r="F554">
        <v>6</v>
      </c>
      <c r="G554">
        <v>2751</v>
      </c>
      <c r="H554">
        <v>16506</v>
      </c>
      <c r="I554">
        <v>5339</v>
      </c>
      <c r="J554" t="s">
        <v>22</v>
      </c>
    </row>
    <row r="555" spans="1:10" x14ac:dyDescent="0.35">
      <c r="A555" t="s">
        <v>625</v>
      </c>
      <c r="B555" s="1">
        <v>44974</v>
      </c>
      <c r="C555" t="s">
        <v>30</v>
      </c>
      <c r="D555" t="s">
        <v>15</v>
      </c>
      <c r="E555" t="s">
        <v>153</v>
      </c>
      <c r="F555">
        <v>7</v>
      </c>
      <c r="G555">
        <v>4039</v>
      </c>
      <c r="H555">
        <v>28273</v>
      </c>
      <c r="I555">
        <v>4074</v>
      </c>
      <c r="J555" t="s">
        <v>13</v>
      </c>
    </row>
    <row r="556" spans="1:10" x14ac:dyDescent="0.35">
      <c r="A556" t="s">
        <v>626</v>
      </c>
      <c r="B556" s="1">
        <v>45068</v>
      </c>
      <c r="C556" t="s">
        <v>10</v>
      </c>
      <c r="D556" t="s">
        <v>15</v>
      </c>
      <c r="E556" t="s">
        <v>218</v>
      </c>
      <c r="F556">
        <v>2</v>
      </c>
      <c r="G556">
        <v>2412</v>
      </c>
      <c r="H556">
        <v>4824</v>
      </c>
      <c r="I556">
        <v>719</v>
      </c>
      <c r="J556" t="s">
        <v>22</v>
      </c>
    </row>
    <row r="557" spans="1:10" x14ac:dyDescent="0.35">
      <c r="A557" t="s">
        <v>627</v>
      </c>
      <c r="B557" s="1">
        <v>45245</v>
      </c>
      <c r="C557" t="s">
        <v>10</v>
      </c>
      <c r="D557" t="s">
        <v>15</v>
      </c>
      <c r="E557" t="s">
        <v>130</v>
      </c>
      <c r="F557">
        <v>8</v>
      </c>
      <c r="G557">
        <v>4246</v>
      </c>
      <c r="H557">
        <v>33968</v>
      </c>
      <c r="I557">
        <v>7557</v>
      </c>
      <c r="J557" t="s">
        <v>32</v>
      </c>
    </row>
    <row r="558" spans="1:10" x14ac:dyDescent="0.35">
      <c r="A558" t="s">
        <v>628</v>
      </c>
      <c r="B558" s="1">
        <v>45109</v>
      </c>
      <c r="C558" t="s">
        <v>30</v>
      </c>
      <c r="D558" t="s">
        <v>15</v>
      </c>
      <c r="E558" t="s">
        <v>53</v>
      </c>
      <c r="F558">
        <v>10</v>
      </c>
      <c r="G558">
        <v>2947</v>
      </c>
      <c r="H558">
        <v>29470</v>
      </c>
      <c r="I558">
        <v>8916</v>
      </c>
      <c r="J558" t="s">
        <v>22</v>
      </c>
    </row>
    <row r="559" spans="1:10" x14ac:dyDescent="0.35">
      <c r="A559" t="s">
        <v>629</v>
      </c>
      <c r="B559" s="1">
        <v>45129</v>
      </c>
      <c r="C559" t="s">
        <v>19</v>
      </c>
      <c r="D559" t="s">
        <v>25</v>
      </c>
      <c r="E559" t="s">
        <v>153</v>
      </c>
      <c r="F559">
        <v>7</v>
      </c>
      <c r="G559">
        <v>4203</v>
      </c>
      <c r="H559">
        <v>29421</v>
      </c>
      <c r="I559">
        <v>6742</v>
      </c>
      <c r="J559" t="s">
        <v>17</v>
      </c>
    </row>
    <row r="560" spans="1:10" x14ac:dyDescent="0.35">
      <c r="A560" t="s">
        <v>630</v>
      </c>
      <c r="B560" s="1">
        <v>45276</v>
      </c>
      <c r="C560" t="s">
        <v>30</v>
      </c>
      <c r="D560" t="s">
        <v>11</v>
      </c>
      <c r="E560" t="s">
        <v>218</v>
      </c>
      <c r="F560">
        <v>5</v>
      </c>
      <c r="G560">
        <v>1274</v>
      </c>
      <c r="H560">
        <v>6370</v>
      </c>
      <c r="I560">
        <v>948</v>
      </c>
      <c r="J560" t="s">
        <v>13</v>
      </c>
    </row>
    <row r="561" spans="1:10" x14ac:dyDescent="0.35">
      <c r="A561" t="s">
        <v>631</v>
      </c>
      <c r="B561" s="1">
        <v>44967</v>
      </c>
      <c r="C561" t="s">
        <v>19</v>
      </c>
      <c r="D561" t="s">
        <v>25</v>
      </c>
      <c r="E561" t="s">
        <v>123</v>
      </c>
      <c r="F561">
        <v>4</v>
      </c>
      <c r="G561">
        <v>1120</v>
      </c>
      <c r="H561">
        <v>4480</v>
      </c>
      <c r="I561">
        <v>962</v>
      </c>
      <c r="J561" t="s">
        <v>17</v>
      </c>
    </row>
    <row r="562" spans="1:10" x14ac:dyDescent="0.35">
      <c r="A562" t="s">
        <v>632</v>
      </c>
      <c r="B562" s="1">
        <v>45058</v>
      </c>
      <c r="C562" t="s">
        <v>10</v>
      </c>
      <c r="D562" t="s">
        <v>40</v>
      </c>
      <c r="E562" t="s">
        <v>153</v>
      </c>
      <c r="F562">
        <v>6</v>
      </c>
      <c r="G562">
        <v>4614</v>
      </c>
      <c r="H562">
        <v>27684</v>
      </c>
      <c r="I562">
        <v>6597</v>
      </c>
      <c r="J562" t="s">
        <v>22</v>
      </c>
    </row>
    <row r="563" spans="1:10" x14ac:dyDescent="0.35">
      <c r="A563" t="s">
        <v>633</v>
      </c>
      <c r="B563" s="1">
        <v>44948</v>
      </c>
      <c r="C563" t="s">
        <v>24</v>
      </c>
      <c r="D563" t="s">
        <v>40</v>
      </c>
      <c r="E563" t="s">
        <v>102</v>
      </c>
      <c r="F563">
        <v>9</v>
      </c>
      <c r="G563">
        <v>3883</v>
      </c>
      <c r="H563">
        <v>34947</v>
      </c>
      <c r="I563">
        <v>5654</v>
      </c>
      <c r="J563" t="s">
        <v>17</v>
      </c>
    </row>
    <row r="564" spans="1:10" x14ac:dyDescent="0.35">
      <c r="A564" t="s">
        <v>634</v>
      </c>
      <c r="B564" s="1">
        <v>45102</v>
      </c>
      <c r="C564" t="s">
        <v>30</v>
      </c>
      <c r="D564" t="s">
        <v>20</v>
      </c>
      <c r="E564" t="s">
        <v>89</v>
      </c>
      <c r="F564">
        <v>6</v>
      </c>
      <c r="G564">
        <v>1099</v>
      </c>
      <c r="H564">
        <v>6594</v>
      </c>
      <c r="I564">
        <v>1487</v>
      </c>
      <c r="J564" t="s">
        <v>32</v>
      </c>
    </row>
    <row r="565" spans="1:10" x14ac:dyDescent="0.35">
      <c r="A565" t="s">
        <v>635</v>
      </c>
      <c r="B565" s="1">
        <v>45228</v>
      </c>
      <c r="C565" t="s">
        <v>30</v>
      </c>
      <c r="D565" t="s">
        <v>40</v>
      </c>
      <c r="E565" t="s">
        <v>53</v>
      </c>
      <c r="F565">
        <v>3</v>
      </c>
      <c r="G565">
        <v>4246</v>
      </c>
      <c r="H565">
        <v>12738</v>
      </c>
      <c r="I565">
        <v>4718</v>
      </c>
      <c r="J565" t="s">
        <v>13</v>
      </c>
    </row>
    <row r="566" spans="1:10" x14ac:dyDescent="0.35">
      <c r="A566" t="s">
        <v>636</v>
      </c>
      <c r="B566" s="1">
        <v>45258</v>
      </c>
      <c r="C566" t="s">
        <v>30</v>
      </c>
      <c r="D566" t="s">
        <v>11</v>
      </c>
      <c r="E566" t="s">
        <v>28</v>
      </c>
      <c r="F566">
        <v>4</v>
      </c>
      <c r="G566">
        <v>4391</v>
      </c>
      <c r="H566">
        <v>17564</v>
      </c>
      <c r="I566">
        <v>4957</v>
      </c>
      <c r="J566" t="s">
        <v>22</v>
      </c>
    </row>
    <row r="567" spans="1:10" x14ac:dyDescent="0.35">
      <c r="A567" t="s">
        <v>637</v>
      </c>
      <c r="B567" s="1">
        <v>45189</v>
      </c>
      <c r="C567" t="s">
        <v>24</v>
      </c>
      <c r="D567" t="s">
        <v>11</v>
      </c>
      <c r="E567" t="s">
        <v>113</v>
      </c>
      <c r="F567">
        <v>6</v>
      </c>
      <c r="G567">
        <v>2489</v>
      </c>
      <c r="H567">
        <v>14934</v>
      </c>
      <c r="I567">
        <v>1575</v>
      </c>
      <c r="J567" t="s">
        <v>17</v>
      </c>
    </row>
    <row r="568" spans="1:10" x14ac:dyDescent="0.35">
      <c r="A568" t="s">
        <v>638</v>
      </c>
      <c r="B568" s="1">
        <v>45082</v>
      </c>
      <c r="C568" t="s">
        <v>10</v>
      </c>
      <c r="D568" t="s">
        <v>25</v>
      </c>
      <c r="E568" t="s">
        <v>51</v>
      </c>
      <c r="F568">
        <v>10</v>
      </c>
      <c r="G568">
        <v>1006</v>
      </c>
      <c r="H568">
        <v>10060</v>
      </c>
      <c r="I568">
        <v>2060</v>
      </c>
      <c r="J568" t="s">
        <v>13</v>
      </c>
    </row>
    <row r="569" spans="1:10" x14ac:dyDescent="0.35">
      <c r="A569" t="s">
        <v>639</v>
      </c>
      <c r="B569" s="1">
        <v>45136</v>
      </c>
      <c r="C569" t="s">
        <v>24</v>
      </c>
      <c r="D569" t="s">
        <v>11</v>
      </c>
      <c r="E569" t="s">
        <v>12</v>
      </c>
      <c r="F569">
        <v>3</v>
      </c>
      <c r="G569">
        <v>664</v>
      </c>
      <c r="H569">
        <v>1992</v>
      </c>
      <c r="I569">
        <v>768</v>
      </c>
      <c r="J569" t="s">
        <v>22</v>
      </c>
    </row>
    <row r="570" spans="1:10" x14ac:dyDescent="0.35">
      <c r="A570" t="s">
        <v>640</v>
      </c>
      <c r="B570" s="1">
        <v>45009</v>
      </c>
      <c r="C570" t="s">
        <v>19</v>
      </c>
      <c r="D570" t="s">
        <v>40</v>
      </c>
      <c r="E570" t="s">
        <v>38</v>
      </c>
      <c r="F570">
        <v>7</v>
      </c>
      <c r="G570">
        <v>3223</v>
      </c>
      <c r="H570">
        <v>22561</v>
      </c>
      <c r="I570">
        <v>6020</v>
      </c>
      <c r="J570" t="s">
        <v>17</v>
      </c>
    </row>
    <row r="571" spans="1:10" x14ac:dyDescent="0.35">
      <c r="A571" t="s">
        <v>641</v>
      </c>
      <c r="B571" s="1">
        <v>44998</v>
      </c>
      <c r="C571" t="s">
        <v>10</v>
      </c>
      <c r="D571" t="s">
        <v>40</v>
      </c>
      <c r="E571" t="s">
        <v>92</v>
      </c>
      <c r="F571">
        <v>1</v>
      </c>
      <c r="G571">
        <v>2792</v>
      </c>
      <c r="H571">
        <v>2792</v>
      </c>
      <c r="I571">
        <v>308</v>
      </c>
      <c r="J571" t="s">
        <v>13</v>
      </c>
    </row>
    <row r="572" spans="1:10" x14ac:dyDescent="0.35">
      <c r="A572" t="s">
        <v>642</v>
      </c>
      <c r="B572" s="1">
        <v>45094</v>
      </c>
      <c r="C572" t="s">
        <v>10</v>
      </c>
      <c r="D572" t="s">
        <v>25</v>
      </c>
      <c r="E572" t="s">
        <v>365</v>
      </c>
      <c r="F572">
        <v>2</v>
      </c>
      <c r="G572">
        <v>4198</v>
      </c>
      <c r="H572">
        <v>8396</v>
      </c>
      <c r="I572">
        <v>2420</v>
      </c>
      <c r="J572" t="s">
        <v>32</v>
      </c>
    </row>
    <row r="573" spans="1:10" x14ac:dyDescent="0.35">
      <c r="A573" t="s">
        <v>643</v>
      </c>
      <c r="B573" s="1">
        <v>44969</v>
      </c>
      <c r="C573" t="s">
        <v>24</v>
      </c>
      <c r="D573" t="s">
        <v>20</v>
      </c>
      <c r="E573" t="s">
        <v>128</v>
      </c>
      <c r="F573">
        <v>1</v>
      </c>
      <c r="G573">
        <v>1611</v>
      </c>
      <c r="H573">
        <v>1611</v>
      </c>
      <c r="I573">
        <v>297</v>
      </c>
      <c r="J573" t="s">
        <v>22</v>
      </c>
    </row>
    <row r="574" spans="1:10" x14ac:dyDescent="0.35">
      <c r="A574" t="s">
        <v>644</v>
      </c>
      <c r="B574" s="1">
        <v>45037</v>
      </c>
      <c r="C574" t="s">
        <v>19</v>
      </c>
      <c r="D574" t="s">
        <v>11</v>
      </c>
      <c r="E574" t="s">
        <v>100</v>
      </c>
      <c r="F574">
        <v>10</v>
      </c>
      <c r="G574">
        <v>4370</v>
      </c>
      <c r="H574">
        <v>43700</v>
      </c>
      <c r="I574">
        <v>15802</v>
      </c>
      <c r="J574" t="s">
        <v>22</v>
      </c>
    </row>
    <row r="575" spans="1:10" x14ac:dyDescent="0.35">
      <c r="A575" t="s">
        <v>645</v>
      </c>
      <c r="B575" s="1">
        <v>44999</v>
      </c>
      <c r="C575" t="s">
        <v>19</v>
      </c>
      <c r="D575" t="s">
        <v>15</v>
      </c>
      <c r="E575" t="s">
        <v>36</v>
      </c>
      <c r="F575">
        <v>10</v>
      </c>
      <c r="G575">
        <v>4989</v>
      </c>
      <c r="H575">
        <v>49890</v>
      </c>
      <c r="I575">
        <v>5851</v>
      </c>
      <c r="J575" t="s">
        <v>22</v>
      </c>
    </row>
    <row r="576" spans="1:10" x14ac:dyDescent="0.35">
      <c r="A576" t="s">
        <v>646</v>
      </c>
      <c r="B576" s="1">
        <v>45198</v>
      </c>
      <c r="C576" t="s">
        <v>30</v>
      </c>
      <c r="D576" t="s">
        <v>11</v>
      </c>
      <c r="E576" t="s">
        <v>64</v>
      </c>
      <c r="F576">
        <v>8</v>
      </c>
      <c r="G576">
        <v>4985</v>
      </c>
      <c r="H576">
        <v>39880</v>
      </c>
      <c r="I576">
        <v>10339</v>
      </c>
      <c r="J576" t="s">
        <v>22</v>
      </c>
    </row>
    <row r="577" spans="1:10" x14ac:dyDescent="0.35">
      <c r="A577" t="s">
        <v>647</v>
      </c>
      <c r="B577" s="1">
        <v>45172</v>
      </c>
      <c r="C577" t="s">
        <v>30</v>
      </c>
      <c r="D577" t="s">
        <v>40</v>
      </c>
      <c r="E577" t="s">
        <v>128</v>
      </c>
      <c r="F577">
        <v>1</v>
      </c>
      <c r="G577">
        <v>2598</v>
      </c>
      <c r="H577">
        <v>2598</v>
      </c>
      <c r="I577">
        <v>731</v>
      </c>
      <c r="J577" t="s">
        <v>13</v>
      </c>
    </row>
    <row r="578" spans="1:10" x14ac:dyDescent="0.35">
      <c r="A578" t="s">
        <v>648</v>
      </c>
      <c r="B578" s="1">
        <v>44978</v>
      </c>
      <c r="C578" t="s">
        <v>24</v>
      </c>
      <c r="D578" t="s">
        <v>25</v>
      </c>
      <c r="E578" t="s">
        <v>123</v>
      </c>
      <c r="F578">
        <v>10</v>
      </c>
      <c r="G578">
        <v>4657</v>
      </c>
      <c r="H578">
        <v>46570</v>
      </c>
      <c r="I578">
        <v>6024</v>
      </c>
      <c r="J578" t="s">
        <v>13</v>
      </c>
    </row>
    <row r="579" spans="1:10" x14ac:dyDescent="0.35">
      <c r="A579" t="s">
        <v>649</v>
      </c>
      <c r="B579" s="1">
        <v>44953</v>
      </c>
      <c r="C579" t="s">
        <v>30</v>
      </c>
      <c r="D579" t="s">
        <v>20</v>
      </c>
      <c r="E579" t="s">
        <v>87</v>
      </c>
      <c r="F579">
        <v>9</v>
      </c>
      <c r="G579">
        <v>2599</v>
      </c>
      <c r="H579">
        <v>23391</v>
      </c>
      <c r="I579">
        <v>6027</v>
      </c>
      <c r="J579" t="s">
        <v>32</v>
      </c>
    </row>
    <row r="580" spans="1:10" x14ac:dyDescent="0.35">
      <c r="A580" t="s">
        <v>650</v>
      </c>
      <c r="B580" s="1">
        <v>45040</v>
      </c>
      <c r="C580" t="s">
        <v>24</v>
      </c>
      <c r="D580" t="s">
        <v>40</v>
      </c>
      <c r="E580" t="s">
        <v>80</v>
      </c>
      <c r="F580">
        <v>2</v>
      </c>
      <c r="G580">
        <v>1311</v>
      </c>
      <c r="H580">
        <v>2622</v>
      </c>
      <c r="I580">
        <v>595</v>
      </c>
      <c r="J580" t="s">
        <v>13</v>
      </c>
    </row>
    <row r="581" spans="1:10" x14ac:dyDescent="0.35">
      <c r="A581" t="s">
        <v>651</v>
      </c>
      <c r="B581" s="1">
        <v>45276</v>
      </c>
      <c r="C581" t="s">
        <v>19</v>
      </c>
      <c r="D581" t="s">
        <v>20</v>
      </c>
      <c r="E581" t="s">
        <v>34</v>
      </c>
      <c r="F581">
        <v>6</v>
      </c>
      <c r="G581">
        <v>4999</v>
      </c>
      <c r="H581">
        <v>29994</v>
      </c>
      <c r="I581">
        <v>8046</v>
      </c>
      <c r="J581" t="s">
        <v>22</v>
      </c>
    </row>
    <row r="582" spans="1:10" x14ac:dyDescent="0.35">
      <c r="A582" t="s">
        <v>652</v>
      </c>
      <c r="B582" s="1">
        <v>45152</v>
      </c>
      <c r="C582" t="s">
        <v>24</v>
      </c>
      <c r="D582" t="s">
        <v>20</v>
      </c>
      <c r="E582" t="s">
        <v>126</v>
      </c>
      <c r="F582">
        <v>2</v>
      </c>
      <c r="G582">
        <v>4671</v>
      </c>
      <c r="H582">
        <v>9342</v>
      </c>
      <c r="I582">
        <v>946</v>
      </c>
      <c r="J582" t="s">
        <v>22</v>
      </c>
    </row>
    <row r="583" spans="1:10" x14ac:dyDescent="0.35">
      <c r="A583" t="s">
        <v>653</v>
      </c>
      <c r="B583" s="1">
        <v>45035</v>
      </c>
      <c r="C583" t="s">
        <v>10</v>
      </c>
      <c r="D583" t="s">
        <v>15</v>
      </c>
      <c r="E583" t="s">
        <v>102</v>
      </c>
      <c r="F583">
        <v>8</v>
      </c>
      <c r="G583">
        <v>4644</v>
      </c>
      <c r="H583">
        <v>37152</v>
      </c>
      <c r="I583">
        <v>14299</v>
      </c>
      <c r="J583" t="s">
        <v>13</v>
      </c>
    </row>
    <row r="584" spans="1:10" x14ac:dyDescent="0.35">
      <c r="A584" t="s">
        <v>654</v>
      </c>
      <c r="B584" s="1">
        <v>45247</v>
      </c>
      <c r="C584" t="s">
        <v>19</v>
      </c>
      <c r="D584" t="s">
        <v>25</v>
      </c>
      <c r="E584" t="s">
        <v>34</v>
      </c>
      <c r="F584">
        <v>5</v>
      </c>
      <c r="G584">
        <v>1431</v>
      </c>
      <c r="H584">
        <v>7155</v>
      </c>
      <c r="I584">
        <v>1152</v>
      </c>
      <c r="J584" t="s">
        <v>22</v>
      </c>
    </row>
    <row r="585" spans="1:10" x14ac:dyDescent="0.35">
      <c r="A585" t="s">
        <v>655</v>
      </c>
      <c r="B585" s="1">
        <v>45087</v>
      </c>
      <c r="C585" t="s">
        <v>24</v>
      </c>
      <c r="D585" t="s">
        <v>40</v>
      </c>
      <c r="E585" t="s">
        <v>80</v>
      </c>
      <c r="F585">
        <v>1</v>
      </c>
      <c r="G585">
        <v>4506</v>
      </c>
      <c r="H585">
        <v>4506</v>
      </c>
      <c r="I585">
        <v>729</v>
      </c>
      <c r="J585" t="s">
        <v>22</v>
      </c>
    </row>
    <row r="586" spans="1:10" x14ac:dyDescent="0.35">
      <c r="A586" t="s">
        <v>656</v>
      </c>
      <c r="B586" s="1">
        <v>45229</v>
      </c>
      <c r="C586" t="s">
        <v>19</v>
      </c>
      <c r="D586" t="s">
        <v>11</v>
      </c>
      <c r="E586" t="s">
        <v>128</v>
      </c>
      <c r="F586">
        <v>5</v>
      </c>
      <c r="G586">
        <v>4409</v>
      </c>
      <c r="H586">
        <v>22045</v>
      </c>
      <c r="I586">
        <v>6563</v>
      </c>
      <c r="J586" t="s">
        <v>17</v>
      </c>
    </row>
    <row r="587" spans="1:10" x14ac:dyDescent="0.35">
      <c r="A587" t="s">
        <v>657</v>
      </c>
      <c r="B587" s="1">
        <v>45214</v>
      </c>
      <c r="C587" t="s">
        <v>30</v>
      </c>
      <c r="D587" t="s">
        <v>20</v>
      </c>
      <c r="E587" t="s">
        <v>137</v>
      </c>
      <c r="F587">
        <v>2</v>
      </c>
      <c r="G587">
        <v>996</v>
      </c>
      <c r="H587">
        <v>1992</v>
      </c>
      <c r="I587">
        <v>680</v>
      </c>
      <c r="J587" t="s">
        <v>22</v>
      </c>
    </row>
    <row r="588" spans="1:10" x14ac:dyDescent="0.35">
      <c r="A588" t="s">
        <v>658</v>
      </c>
      <c r="B588" s="1">
        <v>44958</v>
      </c>
      <c r="C588" t="s">
        <v>24</v>
      </c>
      <c r="D588" t="s">
        <v>15</v>
      </c>
      <c r="E588" t="s">
        <v>34</v>
      </c>
      <c r="F588">
        <v>9</v>
      </c>
      <c r="G588">
        <v>677</v>
      </c>
      <c r="H588">
        <v>6093</v>
      </c>
      <c r="I588">
        <v>1472</v>
      </c>
      <c r="J588" t="s">
        <v>32</v>
      </c>
    </row>
    <row r="589" spans="1:10" x14ac:dyDescent="0.35">
      <c r="A589" t="s">
        <v>659</v>
      </c>
      <c r="B589" s="1">
        <v>45034</v>
      </c>
      <c r="C589" t="s">
        <v>24</v>
      </c>
      <c r="D589" t="s">
        <v>20</v>
      </c>
      <c r="E589" t="s">
        <v>36</v>
      </c>
      <c r="F589">
        <v>6</v>
      </c>
      <c r="G589">
        <v>2972</v>
      </c>
      <c r="H589">
        <v>17832</v>
      </c>
      <c r="I589">
        <v>2701</v>
      </c>
      <c r="J589" t="s">
        <v>17</v>
      </c>
    </row>
    <row r="590" spans="1:10" x14ac:dyDescent="0.35">
      <c r="A590" t="s">
        <v>660</v>
      </c>
      <c r="B590" s="1">
        <v>44994</v>
      </c>
      <c r="C590" t="s">
        <v>19</v>
      </c>
      <c r="D590" t="s">
        <v>15</v>
      </c>
      <c r="E590" t="s">
        <v>211</v>
      </c>
      <c r="F590">
        <v>6</v>
      </c>
      <c r="G590">
        <v>4785</v>
      </c>
      <c r="H590">
        <v>28710</v>
      </c>
      <c r="I590">
        <v>3041</v>
      </c>
      <c r="J590" t="s">
        <v>13</v>
      </c>
    </row>
    <row r="591" spans="1:10" x14ac:dyDescent="0.35">
      <c r="A591" t="s">
        <v>661</v>
      </c>
      <c r="B591" s="1">
        <v>45154</v>
      </c>
      <c r="C591" t="s">
        <v>24</v>
      </c>
      <c r="D591" t="s">
        <v>11</v>
      </c>
      <c r="E591" t="s">
        <v>92</v>
      </c>
      <c r="F591">
        <v>3</v>
      </c>
      <c r="G591">
        <v>4934</v>
      </c>
      <c r="H591">
        <v>14802</v>
      </c>
      <c r="I591">
        <v>5421</v>
      </c>
      <c r="J591" t="s">
        <v>22</v>
      </c>
    </row>
    <row r="592" spans="1:10" x14ac:dyDescent="0.35">
      <c r="A592" t="s">
        <v>662</v>
      </c>
      <c r="B592" s="1">
        <v>45213</v>
      </c>
      <c r="C592" t="s">
        <v>19</v>
      </c>
      <c r="D592" t="s">
        <v>40</v>
      </c>
      <c r="E592" t="s">
        <v>118</v>
      </c>
      <c r="F592">
        <v>10</v>
      </c>
      <c r="G592">
        <v>3789</v>
      </c>
      <c r="H592">
        <v>37890</v>
      </c>
      <c r="I592">
        <v>10520</v>
      </c>
      <c r="J592" t="s">
        <v>17</v>
      </c>
    </row>
    <row r="593" spans="1:10" x14ac:dyDescent="0.35">
      <c r="A593" t="s">
        <v>663</v>
      </c>
      <c r="B593" s="1">
        <v>45214</v>
      </c>
      <c r="C593" t="s">
        <v>24</v>
      </c>
      <c r="D593" t="s">
        <v>11</v>
      </c>
      <c r="E593" t="s">
        <v>21</v>
      </c>
      <c r="F593">
        <v>9</v>
      </c>
      <c r="G593">
        <v>734</v>
      </c>
      <c r="H593">
        <v>6606</v>
      </c>
      <c r="I593">
        <v>1558</v>
      </c>
      <c r="J593" t="s">
        <v>22</v>
      </c>
    </row>
    <row r="594" spans="1:10" x14ac:dyDescent="0.35">
      <c r="A594" t="s">
        <v>664</v>
      </c>
      <c r="B594" s="1">
        <v>45081</v>
      </c>
      <c r="C594" t="s">
        <v>19</v>
      </c>
      <c r="D594" t="s">
        <v>11</v>
      </c>
      <c r="E594" t="s">
        <v>58</v>
      </c>
      <c r="F594">
        <v>9</v>
      </c>
      <c r="G594">
        <v>1448</v>
      </c>
      <c r="H594">
        <v>13032</v>
      </c>
      <c r="I594">
        <v>1792</v>
      </c>
      <c r="J594" t="s">
        <v>32</v>
      </c>
    </row>
    <row r="595" spans="1:10" x14ac:dyDescent="0.35">
      <c r="A595" t="s">
        <v>665</v>
      </c>
      <c r="B595" s="1">
        <v>45145</v>
      </c>
      <c r="C595" t="s">
        <v>19</v>
      </c>
      <c r="D595" t="s">
        <v>25</v>
      </c>
      <c r="E595" t="s">
        <v>130</v>
      </c>
      <c r="F595">
        <v>10</v>
      </c>
      <c r="G595">
        <v>4850</v>
      </c>
      <c r="H595">
        <v>48500</v>
      </c>
      <c r="I595">
        <v>8763</v>
      </c>
      <c r="J595" t="s">
        <v>13</v>
      </c>
    </row>
    <row r="596" spans="1:10" x14ac:dyDescent="0.35">
      <c r="A596" t="s">
        <v>666</v>
      </c>
      <c r="B596" s="1">
        <v>45188</v>
      </c>
      <c r="C596" t="s">
        <v>10</v>
      </c>
      <c r="D596" t="s">
        <v>40</v>
      </c>
      <c r="E596" t="s">
        <v>173</v>
      </c>
      <c r="F596">
        <v>5</v>
      </c>
      <c r="G596">
        <v>1791</v>
      </c>
      <c r="H596">
        <v>8955</v>
      </c>
      <c r="I596">
        <v>1786</v>
      </c>
      <c r="J596" t="s">
        <v>32</v>
      </c>
    </row>
    <row r="597" spans="1:10" x14ac:dyDescent="0.35">
      <c r="A597" t="s">
        <v>667</v>
      </c>
      <c r="B597" s="1">
        <v>45041</v>
      </c>
      <c r="C597" t="s">
        <v>19</v>
      </c>
      <c r="D597" t="s">
        <v>40</v>
      </c>
      <c r="E597" t="s">
        <v>51</v>
      </c>
      <c r="F597">
        <v>6</v>
      </c>
      <c r="G597">
        <v>3898</v>
      </c>
      <c r="H597">
        <v>23388</v>
      </c>
      <c r="I597">
        <v>6819</v>
      </c>
      <c r="J597" t="s">
        <v>17</v>
      </c>
    </row>
    <row r="598" spans="1:10" x14ac:dyDescent="0.35">
      <c r="A598" t="s">
        <v>668</v>
      </c>
      <c r="B598" s="1">
        <v>44944</v>
      </c>
      <c r="C598" t="s">
        <v>19</v>
      </c>
      <c r="D598" t="s">
        <v>20</v>
      </c>
      <c r="E598" t="s">
        <v>26</v>
      </c>
      <c r="F598">
        <v>1</v>
      </c>
      <c r="G598">
        <v>4950</v>
      </c>
      <c r="H598">
        <v>4950</v>
      </c>
      <c r="I598">
        <v>1500</v>
      </c>
      <c r="J598" t="s">
        <v>13</v>
      </c>
    </row>
    <row r="599" spans="1:10" x14ac:dyDescent="0.35">
      <c r="A599" t="s">
        <v>669</v>
      </c>
      <c r="B599" s="1">
        <v>45090</v>
      </c>
      <c r="C599" t="s">
        <v>19</v>
      </c>
      <c r="D599" t="s">
        <v>25</v>
      </c>
      <c r="E599" t="s">
        <v>21</v>
      </c>
      <c r="F599">
        <v>1</v>
      </c>
      <c r="G599">
        <v>787</v>
      </c>
      <c r="H599">
        <v>787</v>
      </c>
      <c r="I599">
        <v>168</v>
      </c>
      <c r="J599" t="s">
        <v>32</v>
      </c>
    </row>
    <row r="600" spans="1:10" x14ac:dyDescent="0.35">
      <c r="A600" t="s">
        <v>670</v>
      </c>
      <c r="B600" s="1">
        <v>45115</v>
      </c>
      <c r="C600" t="s">
        <v>24</v>
      </c>
      <c r="D600" t="s">
        <v>20</v>
      </c>
      <c r="E600" t="s">
        <v>26</v>
      </c>
      <c r="F600">
        <v>8</v>
      </c>
      <c r="G600">
        <v>4093</v>
      </c>
      <c r="H600">
        <v>32744</v>
      </c>
      <c r="I600">
        <v>3399</v>
      </c>
      <c r="J600" t="s">
        <v>17</v>
      </c>
    </row>
    <row r="601" spans="1:10" x14ac:dyDescent="0.35">
      <c r="A601" t="s">
        <v>671</v>
      </c>
      <c r="B601" s="1">
        <v>45052</v>
      </c>
      <c r="C601" t="s">
        <v>24</v>
      </c>
      <c r="D601" t="s">
        <v>15</v>
      </c>
      <c r="E601" t="s">
        <v>51</v>
      </c>
      <c r="F601">
        <v>2</v>
      </c>
      <c r="G601">
        <v>633</v>
      </c>
      <c r="H601">
        <v>1266</v>
      </c>
      <c r="I601">
        <v>425</v>
      </c>
      <c r="J601" t="s">
        <v>17</v>
      </c>
    </row>
    <row r="602" spans="1:10" x14ac:dyDescent="0.35">
      <c r="A602" t="s">
        <v>672</v>
      </c>
      <c r="B602" s="1">
        <v>45236</v>
      </c>
      <c r="C602" t="s">
        <v>19</v>
      </c>
      <c r="D602" t="s">
        <v>15</v>
      </c>
      <c r="E602" t="s">
        <v>208</v>
      </c>
      <c r="F602">
        <v>9</v>
      </c>
      <c r="G602">
        <v>1917</v>
      </c>
      <c r="H602">
        <v>17253</v>
      </c>
      <c r="I602">
        <v>4043</v>
      </c>
      <c r="J602" t="s">
        <v>13</v>
      </c>
    </row>
    <row r="603" spans="1:10" x14ac:dyDescent="0.35">
      <c r="A603" t="s">
        <v>673</v>
      </c>
      <c r="B603" s="1">
        <v>45028</v>
      </c>
      <c r="C603" t="s">
        <v>19</v>
      </c>
      <c r="D603" t="s">
        <v>15</v>
      </c>
      <c r="E603" t="s">
        <v>36</v>
      </c>
      <c r="F603">
        <v>3</v>
      </c>
      <c r="G603">
        <v>3862</v>
      </c>
      <c r="H603">
        <v>11586</v>
      </c>
      <c r="I603">
        <v>1762</v>
      </c>
      <c r="J603" t="s">
        <v>22</v>
      </c>
    </row>
    <row r="604" spans="1:10" x14ac:dyDescent="0.35">
      <c r="A604" t="s">
        <v>674</v>
      </c>
      <c r="B604" s="1">
        <v>45280</v>
      </c>
      <c r="C604" t="s">
        <v>19</v>
      </c>
      <c r="D604" t="s">
        <v>25</v>
      </c>
      <c r="E604" t="s">
        <v>68</v>
      </c>
      <c r="F604">
        <v>7</v>
      </c>
      <c r="G604">
        <v>2051</v>
      </c>
      <c r="H604">
        <v>14357</v>
      </c>
      <c r="I604">
        <v>4862</v>
      </c>
      <c r="J604" t="s">
        <v>22</v>
      </c>
    </row>
    <row r="605" spans="1:10" x14ac:dyDescent="0.35">
      <c r="A605" t="s">
        <v>675</v>
      </c>
      <c r="B605" s="1">
        <v>44969</v>
      </c>
      <c r="C605" t="s">
        <v>19</v>
      </c>
      <c r="D605" t="s">
        <v>11</v>
      </c>
      <c r="E605" t="s">
        <v>100</v>
      </c>
      <c r="F605">
        <v>8</v>
      </c>
      <c r="G605">
        <v>3471</v>
      </c>
      <c r="H605">
        <v>27768</v>
      </c>
      <c r="I605">
        <v>2793</v>
      </c>
      <c r="J605" t="s">
        <v>22</v>
      </c>
    </row>
    <row r="606" spans="1:10" x14ac:dyDescent="0.35">
      <c r="A606" t="s">
        <v>676</v>
      </c>
      <c r="B606" s="1">
        <v>44976</v>
      </c>
      <c r="C606" t="s">
        <v>24</v>
      </c>
      <c r="D606" t="s">
        <v>25</v>
      </c>
      <c r="E606" t="s">
        <v>137</v>
      </c>
      <c r="F606">
        <v>2</v>
      </c>
      <c r="G606">
        <v>941</v>
      </c>
      <c r="H606">
        <v>1882</v>
      </c>
      <c r="I606">
        <v>469</v>
      </c>
      <c r="J606" t="s">
        <v>32</v>
      </c>
    </row>
    <row r="607" spans="1:10" x14ac:dyDescent="0.35">
      <c r="A607" t="s">
        <v>677</v>
      </c>
      <c r="B607" s="1">
        <v>44965</v>
      </c>
      <c r="C607" t="s">
        <v>19</v>
      </c>
      <c r="D607" t="s">
        <v>11</v>
      </c>
      <c r="E607" t="s">
        <v>78</v>
      </c>
      <c r="F607">
        <v>6</v>
      </c>
      <c r="G607">
        <v>3790</v>
      </c>
      <c r="H607">
        <v>22740</v>
      </c>
      <c r="I607">
        <v>6653</v>
      </c>
      <c r="J607" t="s">
        <v>32</v>
      </c>
    </row>
    <row r="608" spans="1:10" x14ac:dyDescent="0.35">
      <c r="A608" t="s">
        <v>678</v>
      </c>
      <c r="B608" s="1">
        <v>45190</v>
      </c>
      <c r="C608" t="s">
        <v>10</v>
      </c>
      <c r="D608" t="s">
        <v>15</v>
      </c>
      <c r="E608" t="s">
        <v>41</v>
      </c>
      <c r="F608">
        <v>3</v>
      </c>
      <c r="G608">
        <v>3541</v>
      </c>
      <c r="H608">
        <v>10623</v>
      </c>
      <c r="I608">
        <v>3946</v>
      </c>
      <c r="J608" t="s">
        <v>32</v>
      </c>
    </row>
    <row r="609" spans="1:10" x14ac:dyDescent="0.35">
      <c r="A609" t="s">
        <v>679</v>
      </c>
      <c r="B609" s="1">
        <v>44985</v>
      </c>
      <c r="C609" t="s">
        <v>19</v>
      </c>
      <c r="D609" t="s">
        <v>20</v>
      </c>
      <c r="E609" t="s">
        <v>149</v>
      </c>
      <c r="F609">
        <v>2</v>
      </c>
      <c r="G609">
        <v>2402</v>
      </c>
      <c r="H609">
        <v>4804</v>
      </c>
      <c r="I609">
        <v>1484</v>
      </c>
      <c r="J609" t="s">
        <v>32</v>
      </c>
    </row>
    <row r="610" spans="1:10" x14ac:dyDescent="0.35">
      <c r="A610" t="s">
        <v>680</v>
      </c>
      <c r="B610" s="1">
        <v>45185</v>
      </c>
      <c r="C610" t="s">
        <v>19</v>
      </c>
      <c r="D610" t="s">
        <v>11</v>
      </c>
      <c r="E610" t="s">
        <v>168</v>
      </c>
      <c r="F610">
        <v>9</v>
      </c>
      <c r="G610">
        <v>3875</v>
      </c>
      <c r="H610">
        <v>34875</v>
      </c>
      <c r="I610">
        <v>9832</v>
      </c>
      <c r="J610" t="s">
        <v>22</v>
      </c>
    </row>
    <row r="611" spans="1:10" x14ac:dyDescent="0.35">
      <c r="A611" t="s">
        <v>681</v>
      </c>
      <c r="B611" s="1">
        <v>45083</v>
      </c>
      <c r="C611" t="s">
        <v>10</v>
      </c>
      <c r="D611" t="s">
        <v>15</v>
      </c>
      <c r="E611" t="s">
        <v>46</v>
      </c>
      <c r="F611">
        <v>6</v>
      </c>
      <c r="G611">
        <v>1951</v>
      </c>
      <c r="H611">
        <v>11706</v>
      </c>
      <c r="I611">
        <v>3959</v>
      </c>
      <c r="J611" t="s">
        <v>32</v>
      </c>
    </row>
    <row r="612" spans="1:10" x14ac:dyDescent="0.35">
      <c r="A612" t="s">
        <v>682</v>
      </c>
      <c r="B612" s="1">
        <v>45244</v>
      </c>
      <c r="C612" t="s">
        <v>24</v>
      </c>
      <c r="D612" t="s">
        <v>20</v>
      </c>
      <c r="E612" t="s">
        <v>208</v>
      </c>
      <c r="F612">
        <v>3</v>
      </c>
      <c r="G612">
        <v>2570</v>
      </c>
      <c r="H612">
        <v>7710</v>
      </c>
      <c r="I612">
        <v>834</v>
      </c>
      <c r="J612" t="s">
        <v>17</v>
      </c>
    </row>
    <row r="613" spans="1:10" x14ac:dyDescent="0.35">
      <c r="A613" t="s">
        <v>683</v>
      </c>
      <c r="B613" s="1">
        <v>44947</v>
      </c>
      <c r="C613" t="s">
        <v>24</v>
      </c>
      <c r="D613" t="s">
        <v>20</v>
      </c>
      <c r="E613" t="s">
        <v>78</v>
      </c>
      <c r="F613">
        <v>9</v>
      </c>
      <c r="G613">
        <v>1728</v>
      </c>
      <c r="H613">
        <v>15552</v>
      </c>
      <c r="I613">
        <v>5794</v>
      </c>
      <c r="J613" t="s">
        <v>22</v>
      </c>
    </row>
    <row r="614" spans="1:10" x14ac:dyDescent="0.35">
      <c r="A614" t="s">
        <v>684</v>
      </c>
      <c r="B614" s="1">
        <v>45045</v>
      </c>
      <c r="C614" t="s">
        <v>24</v>
      </c>
      <c r="D614" t="s">
        <v>20</v>
      </c>
      <c r="E614" t="s">
        <v>58</v>
      </c>
      <c r="F614">
        <v>3</v>
      </c>
      <c r="G614">
        <v>1445</v>
      </c>
      <c r="H614">
        <v>4335</v>
      </c>
      <c r="I614">
        <v>1507</v>
      </c>
      <c r="J614" t="s">
        <v>32</v>
      </c>
    </row>
    <row r="615" spans="1:10" x14ac:dyDescent="0.35">
      <c r="A615" t="s">
        <v>685</v>
      </c>
      <c r="B615" s="1">
        <v>45001</v>
      </c>
      <c r="C615" t="s">
        <v>10</v>
      </c>
      <c r="D615" t="s">
        <v>11</v>
      </c>
      <c r="E615" t="s">
        <v>208</v>
      </c>
      <c r="F615">
        <v>10</v>
      </c>
      <c r="G615">
        <v>2202</v>
      </c>
      <c r="H615">
        <v>22020</v>
      </c>
      <c r="I615">
        <v>6633</v>
      </c>
      <c r="J615" t="s">
        <v>13</v>
      </c>
    </row>
    <row r="616" spans="1:10" x14ac:dyDescent="0.35">
      <c r="A616" t="s">
        <v>686</v>
      </c>
      <c r="B616" s="1">
        <v>45209</v>
      </c>
      <c r="C616" t="s">
        <v>19</v>
      </c>
      <c r="D616" t="s">
        <v>40</v>
      </c>
      <c r="E616" t="s">
        <v>179</v>
      </c>
      <c r="F616">
        <v>3</v>
      </c>
      <c r="G616">
        <v>1716</v>
      </c>
      <c r="H616">
        <v>5148</v>
      </c>
      <c r="I616">
        <v>1470</v>
      </c>
      <c r="J616" t="s">
        <v>17</v>
      </c>
    </row>
    <row r="617" spans="1:10" x14ac:dyDescent="0.35">
      <c r="A617" t="s">
        <v>687</v>
      </c>
      <c r="B617" s="1">
        <v>45246</v>
      </c>
      <c r="C617" t="s">
        <v>30</v>
      </c>
      <c r="D617" t="s">
        <v>15</v>
      </c>
      <c r="E617" t="s">
        <v>123</v>
      </c>
      <c r="F617">
        <v>5</v>
      </c>
      <c r="G617">
        <v>2654</v>
      </c>
      <c r="H617">
        <v>13270</v>
      </c>
      <c r="I617">
        <v>4268</v>
      </c>
      <c r="J617" t="s">
        <v>13</v>
      </c>
    </row>
    <row r="618" spans="1:10" x14ac:dyDescent="0.35">
      <c r="A618" t="s">
        <v>688</v>
      </c>
      <c r="B618" s="1">
        <v>45175</v>
      </c>
      <c r="C618" t="s">
        <v>19</v>
      </c>
      <c r="D618" t="s">
        <v>40</v>
      </c>
      <c r="E618" t="s">
        <v>12</v>
      </c>
      <c r="F618">
        <v>2</v>
      </c>
      <c r="G618">
        <v>1911</v>
      </c>
      <c r="H618">
        <v>3822</v>
      </c>
      <c r="I618">
        <v>1431</v>
      </c>
      <c r="J618" t="s">
        <v>22</v>
      </c>
    </row>
    <row r="619" spans="1:10" x14ac:dyDescent="0.35">
      <c r="A619" t="s">
        <v>689</v>
      </c>
      <c r="B619" s="1">
        <v>45262</v>
      </c>
      <c r="C619" t="s">
        <v>24</v>
      </c>
      <c r="D619" t="s">
        <v>15</v>
      </c>
      <c r="E619" t="s">
        <v>218</v>
      </c>
      <c r="F619">
        <v>5</v>
      </c>
      <c r="G619">
        <v>1921</v>
      </c>
      <c r="H619">
        <v>9605</v>
      </c>
      <c r="I619">
        <v>2689</v>
      </c>
      <c r="J619" t="s">
        <v>13</v>
      </c>
    </row>
    <row r="620" spans="1:10" x14ac:dyDescent="0.35">
      <c r="A620" t="s">
        <v>690</v>
      </c>
      <c r="B620" s="1">
        <v>45285</v>
      </c>
      <c r="C620" t="s">
        <v>30</v>
      </c>
      <c r="D620" t="s">
        <v>15</v>
      </c>
      <c r="E620" t="s">
        <v>53</v>
      </c>
      <c r="F620">
        <v>6</v>
      </c>
      <c r="G620">
        <v>1618</v>
      </c>
      <c r="H620">
        <v>9708</v>
      </c>
      <c r="I620">
        <v>3021</v>
      </c>
      <c r="J620" t="s">
        <v>32</v>
      </c>
    </row>
    <row r="621" spans="1:10" x14ac:dyDescent="0.35">
      <c r="A621" t="s">
        <v>691</v>
      </c>
      <c r="B621" s="1">
        <v>44969</v>
      </c>
      <c r="C621" t="s">
        <v>19</v>
      </c>
      <c r="D621" t="s">
        <v>40</v>
      </c>
      <c r="E621" t="s">
        <v>128</v>
      </c>
      <c r="F621">
        <v>7</v>
      </c>
      <c r="G621">
        <v>3562</v>
      </c>
      <c r="H621">
        <v>24934</v>
      </c>
      <c r="I621">
        <v>9084</v>
      </c>
      <c r="J621" t="s">
        <v>13</v>
      </c>
    </row>
    <row r="622" spans="1:10" x14ac:dyDescent="0.35">
      <c r="A622" t="s">
        <v>692</v>
      </c>
      <c r="B622" s="1">
        <v>44967</v>
      </c>
      <c r="C622" t="s">
        <v>10</v>
      </c>
      <c r="D622" t="s">
        <v>40</v>
      </c>
      <c r="E622" t="s">
        <v>216</v>
      </c>
      <c r="F622">
        <v>5</v>
      </c>
      <c r="G622">
        <v>816</v>
      </c>
      <c r="H622">
        <v>4080</v>
      </c>
      <c r="I622">
        <v>1458</v>
      </c>
      <c r="J622" t="s">
        <v>32</v>
      </c>
    </row>
    <row r="623" spans="1:10" x14ac:dyDescent="0.35">
      <c r="A623" t="s">
        <v>693</v>
      </c>
      <c r="B623" s="1">
        <v>45277</v>
      </c>
      <c r="C623" t="s">
        <v>10</v>
      </c>
      <c r="D623" t="s">
        <v>25</v>
      </c>
      <c r="E623" t="s">
        <v>80</v>
      </c>
      <c r="F623">
        <v>2</v>
      </c>
      <c r="G623">
        <v>3954</v>
      </c>
      <c r="H623">
        <v>7908</v>
      </c>
      <c r="I623">
        <v>2337</v>
      </c>
      <c r="J623" t="s">
        <v>17</v>
      </c>
    </row>
    <row r="624" spans="1:10" x14ac:dyDescent="0.35">
      <c r="A624" t="s">
        <v>694</v>
      </c>
      <c r="B624" s="1">
        <v>45090</v>
      </c>
      <c r="C624" t="s">
        <v>30</v>
      </c>
      <c r="D624" t="s">
        <v>15</v>
      </c>
      <c r="E624" t="s">
        <v>92</v>
      </c>
      <c r="F624">
        <v>7</v>
      </c>
      <c r="G624">
        <v>2306</v>
      </c>
      <c r="H624">
        <v>16142</v>
      </c>
      <c r="I624">
        <v>3974</v>
      </c>
      <c r="J624" t="s">
        <v>13</v>
      </c>
    </row>
    <row r="625" spans="1:10" x14ac:dyDescent="0.35">
      <c r="A625" t="s">
        <v>695</v>
      </c>
      <c r="B625" s="1">
        <v>45143</v>
      </c>
      <c r="C625" t="s">
        <v>19</v>
      </c>
      <c r="D625" t="s">
        <v>15</v>
      </c>
      <c r="E625" t="s">
        <v>31</v>
      </c>
      <c r="F625">
        <v>2</v>
      </c>
      <c r="G625">
        <v>4923</v>
      </c>
      <c r="H625">
        <v>9846</v>
      </c>
      <c r="I625">
        <v>3006</v>
      </c>
      <c r="J625" t="s">
        <v>17</v>
      </c>
    </row>
    <row r="626" spans="1:10" x14ac:dyDescent="0.35">
      <c r="A626" t="s">
        <v>696</v>
      </c>
      <c r="B626" s="1">
        <v>45199</v>
      </c>
      <c r="C626" t="s">
        <v>19</v>
      </c>
      <c r="D626" t="s">
        <v>15</v>
      </c>
      <c r="E626" t="s">
        <v>128</v>
      </c>
      <c r="F626">
        <v>1</v>
      </c>
      <c r="G626">
        <v>1552</v>
      </c>
      <c r="H626">
        <v>1552</v>
      </c>
      <c r="I626">
        <v>397</v>
      </c>
      <c r="J626" t="s">
        <v>32</v>
      </c>
    </row>
    <row r="627" spans="1:10" x14ac:dyDescent="0.35">
      <c r="A627" t="s">
        <v>697</v>
      </c>
      <c r="B627" s="1">
        <v>45021</v>
      </c>
      <c r="C627" t="s">
        <v>30</v>
      </c>
      <c r="D627" t="s">
        <v>25</v>
      </c>
      <c r="E627" t="s">
        <v>126</v>
      </c>
      <c r="F627">
        <v>8</v>
      </c>
      <c r="G627">
        <v>4403</v>
      </c>
      <c r="H627">
        <v>35224</v>
      </c>
      <c r="I627">
        <v>9349</v>
      </c>
      <c r="J627" t="s">
        <v>32</v>
      </c>
    </row>
    <row r="628" spans="1:10" x14ac:dyDescent="0.35">
      <c r="A628" t="s">
        <v>698</v>
      </c>
      <c r="B628" s="1">
        <v>45161</v>
      </c>
      <c r="C628" t="s">
        <v>19</v>
      </c>
      <c r="D628" t="s">
        <v>11</v>
      </c>
      <c r="E628" t="s">
        <v>92</v>
      </c>
      <c r="F628">
        <v>4</v>
      </c>
      <c r="G628">
        <v>3432</v>
      </c>
      <c r="H628">
        <v>13728</v>
      </c>
      <c r="I628">
        <v>2173</v>
      </c>
      <c r="J628" t="s">
        <v>22</v>
      </c>
    </row>
    <row r="629" spans="1:10" x14ac:dyDescent="0.35">
      <c r="A629" t="s">
        <v>699</v>
      </c>
      <c r="B629" s="1">
        <v>45130</v>
      </c>
      <c r="C629" t="s">
        <v>10</v>
      </c>
      <c r="D629" t="s">
        <v>25</v>
      </c>
      <c r="E629" t="s">
        <v>130</v>
      </c>
      <c r="F629">
        <v>3</v>
      </c>
      <c r="G629">
        <v>4353</v>
      </c>
      <c r="H629">
        <v>13059</v>
      </c>
      <c r="I629">
        <v>4523</v>
      </c>
      <c r="J629" t="s">
        <v>32</v>
      </c>
    </row>
    <row r="630" spans="1:10" x14ac:dyDescent="0.35">
      <c r="A630" t="s">
        <v>700</v>
      </c>
      <c r="B630" s="1">
        <v>44932</v>
      </c>
      <c r="C630" t="s">
        <v>10</v>
      </c>
      <c r="D630" t="s">
        <v>20</v>
      </c>
      <c r="E630" t="s">
        <v>51</v>
      </c>
      <c r="F630">
        <v>5</v>
      </c>
      <c r="G630">
        <v>1884</v>
      </c>
      <c r="H630">
        <v>9420</v>
      </c>
      <c r="I630">
        <v>2679</v>
      </c>
      <c r="J630" t="s">
        <v>17</v>
      </c>
    </row>
    <row r="631" spans="1:10" x14ac:dyDescent="0.35">
      <c r="A631" t="s">
        <v>701</v>
      </c>
      <c r="B631" s="1">
        <v>45087</v>
      </c>
      <c r="C631" t="s">
        <v>10</v>
      </c>
      <c r="D631" t="s">
        <v>20</v>
      </c>
      <c r="E631" t="s">
        <v>21</v>
      </c>
      <c r="F631">
        <v>3</v>
      </c>
      <c r="G631">
        <v>1090</v>
      </c>
      <c r="H631">
        <v>3270</v>
      </c>
      <c r="I631">
        <v>1202</v>
      </c>
      <c r="J631" t="s">
        <v>13</v>
      </c>
    </row>
    <row r="632" spans="1:10" x14ac:dyDescent="0.35">
      <c r="A632" t="s">
        <v>702</v>
      </c>
      <c r="B632" s="1">
        <v>45179</v>
      </c>
      <c r="C632" t="s">
        <v>24</v>
      </c>
      <c r="D632" t="s">
        <v>11</v>
      </c>
      <c r="E632" t="s">
        <v>130</v>
      </c>
      <c r="F632">
        <v>10</v>
      </c>
      <c r="G632">
        <v>1144</v>
      </c>
      <c r="H632">
        <v>11440</v>
      </c>
      <c r="I632">
        <v>4070</v>
      </c>
      <c r="J632" t="s">
        <v>22</v>
      </c>
    </row>
    <row r="633" spans="1:10" x14ac:dyDescent="0.35">
      <c r="A633" t="s">
        <v>703</v>
      </c>
      <c r="B633" s="1">
        <v>44936</v>
      </c>
      <c r="C633" t="s">
        <v>24</v>
      </c>
      <c r="D633" t="s">
        <v>40</v>
      </c>
      <c r="E633" t="s">
        <v>31</v>
      </c>
      <c r="F633">
        <v>3</v>
      </c>
      <c r="G633">
        <v>1834</v>
      </c>
      <c r="H633">
        <v>5502</v>
      </c>
      <c r="I633">
        <v>1463</v>
      </c>
      <c r="J633" t="s">
        <v>13</v>
      </c>
    </row>
    <row r="634" spans="1:10" x14ac:dyDescent="0.35">
      <c r="A634" t="s">
        <v>704</v>
      </c>
      <c r="B634" s="1">
        <v>44935</v>
      </c>
      <c r="C634" t="s">
        <v>19</v>
      </c>
      <c r="D634" t="s">
        <v>40</v>
      </c>
      <c r="E634" t="s">
        <v>211</v>
      </c>
      <c r="F634">
        <v>6</v>
      </c>
      <c r="G634">
        <v>4403</v>
      </c>
      <c r="H634">
        <v>26418</v>
      </c>
      <c r="I634">
        <v>6018</v>
      </c>
      <c r="J634" t="s">
        <v>17</v>
      </c>
    </row>
    <row r="635" spans="1:10" x14ac:dyDescent="0.35">
      <c r="A635" t="s">
        <v>705</v>
      </c>
      <c r="B635" s="1">
        <v>45076</v>
      </c>
      <c r="C635" t="s">
        <v>19</v>
      </c>
      <c r="D635" t="s">
        <v>25</v>
      </c>
      <c r="E635" t="s">
        <v>111</v>
      </c>
      <c r="F635">
        <v>10</v>
      </c>
      <c r="G635">
        <v>4527</v>
      </c>
      <c r="H635">
        <v>45270</v>
      </c>
      <c r="I635">
        <v>7402</v>
      </c>
      <c r="J635" t="s">
        <v>32</v>
      </c>
    </row>
    <row r="636" spans="1:10" x14ac:dyDescent="0.35">
      <c r="A636" t="s">
        <v>706</v>
      </c>
      <c r="B636" s="1">
        <v>44935</v>
      </c>
      <c r="C636" t="s">
        <v>19</v>
      </c>
      <c r="D636" t="s">
        <v>40</v>
      </c>
      <c r="E636" t="s">
        <v>173</v>
      </c>
      <c r="F636">
        <v>7</v>
      </c>
      <c r="G636">
        <v>3582</v>
      </c>
      <c r="H636">
        <v>25074</v>
      </c>
      <c r="I636">
        <v>2773</v>
      </c>
      <c r="J636" t="s">
        <v>32</v>
      </c>
    </row>
    <row r="637" spans="1:10" x14ac:dyDescent="0.35">
      <c r="A637" t="s">
        <v>707</v>
      </c>
      <c r="B637" s="1">
        <v>45108</v>
      </c>
      <c r="C637" t="s">
        <v>30</v>
      </c>
      <c r="D637" t="s">
        <v>40</v>
      </c>
      <c r="E637" t="s">
        <v>208</v>
      </c>
      <c r="F637">
        <v>4</v>
      </c>
      <c r="G637">
        <v>551</v>
      </c>
      <c r="H637">
        <v>2204</v>
      </c>
      <c r="I637">
        <v>298</v>
      </c>
      <c r="J637" t="s">
        <v>17</v>
      </c>
    </row>
    <row r="638" spans="1:10" x14ac:dyDescent="0.35">
      <c r="A638" t="s">
        <v>708</v>
      </c>
      <c r="B638" s="1">
        <v>45093</v>
      </c>
      <c r="C638" t="s">
        <v>19</v>
      </c>
      <c r="D638" t="s">
        <v>20</v>
      </c>
      <c r="E638" t="s">
        <v>62</v>
      </c>
      <c r="F638">
        <v>8</v>
      </c>
      <c r="G638">
        <v>1729</v>
      </c>
      <c r="H638">
        <v>13832</v>
      </c>
      <c r="I638">
        <v>2274</v>
      </c>
      <c r="J638" t="s">
        <v>22</v>
      </c>
    </row>
    <row r="639" spans="1:10" x14ac:dyDescent="0.35">
      <c r="A639" t="s">
        <v>709</v>
      </c>
      <c r="B639" s="1">
        <v>44945</v>
      </c>
      <c r="C639" t="s">
        <v>30</v>
      </c>
      <c r="D639" t="s">
        <v>40</v>
      </c>
      <c r="E639" t="s">
        <v>130</v>
      </c>
      <c r="F639">
        <v>4</v>
      </c>
      <c r="G639">
        <v>1317</v>
      </c>
      <c r="H639">
        <v>5268</v>
      </c>
      <c r="I639">
        <v>594</v>
      </c>
      <c r="J639" t="s">
        <v>17</v>
      </c>
    </row>
    <row r="640" spans="1:10" x14ac:dyDescent="0.35">
      <c r="A640" t="s">
        <v>710</v>
      </c>
      <c r="B640" s="1">
        <v>45281</v>
      </c>
      <c r="C640" t="s">
        <v>10</v>
      </c>
      <c r="D640" t="s">
        <v>40</v>
      </c>
      <c r="E640" t="s">
        <v>78</v>
      </c>
      <c r="F640">
        <v>5</v>
      </c>
      <c r="G640">
        <v>2653</v>
      </c>
      <c r="H640">
        <v>13265</v>
      </c>
      <c r="I640">
        <v>4906</v>
      </c>
      <c r="J640" t="s">
        <v>17</v>
      </c>
    </row>
    <row r="641" spans="1:10" x14ac:dyDescent="0.35">
      <c r="A641" t="s">
        <v>711</v>
      </c>
      <c r="B641" s="1">
        <v>44979</v>
      </c>
      <c r="C641" t="s">
        <v>10</v>
      </c>
      <c r="D641" t="s">
        <v>11</v>
      </c>
      <c r="E641" t="s">
        <v>111</v>
      </c>
      <c r="F641">
        <v>3</v>
      </c>
      <c r="G641">
        <v>3270</v>
      </c>
      <c r="H641">
        <v>9810</v>
      </c>
      <c r="I641">
        <v>1203</v>
      </c>
      <c r="J641" t="s">
        <v>22</v>
      </c>
    </row>
    <row r="642" spans="1:10" x14ac:dyDescent="0.35">
      <c r="A642" t="s">
        <v>712</v>
      </c>
      <c r="B642" s="1">
        <v>45222</v>
      </c>
      <c r="C642" t="s">
        <v>30</v>
      </c>
      <c r="D642" t="s">
        <v>15</v>
      </c>
      <c r="E642" t="s">
        <v>211</v>
      </c>
      <c r="F642">
        <v>3</v>
      </c>
      <c r="G642">
        <v>4750</v>
      </c>
      <c r="H642">
        <v>14250</v>
      </c>
      <c r="I642">
        <v>1726</v>
      </c>
      <c r="J642" t="s">
        <v>22</v>
      </c>
    </row>
    <row r="643" spans="1:10" x14ac:dyDescent="0.35">
      <c r="A643" t="s">
        <v>713</v>
      </c>
      <c r="B643" s="1">
        <v>45049</v>
      </c>
      <c r="C643" t="s">
        <v>19</v>
      </c>
      <c r="D643" t="s">
        <v>40</v>
      </c>
      <c r="E643" t="s">
        <v>38</v>
      </c>
      <c r="F643">
        <v>4</v>
      </c>
      <c r="G643">
        <v>4616</v>
      </c>
      <c r="H643">
        <v>18464</v>
      </c>
      <c r="I643">
        <v>7056</v>
      </c>
      <c r="J643" t="s">
        <v>17</v>
      </c>
    </row>
    <row r="644" spans="1:10" x14ac:dyDescent="0.35">
      <c r="A644" t="s">
        <v>714</v>
      </c>
      <c r="B644" s="1">
        <v>45045</v>
      </c>
      <c r="C644" t="s">
        <v>10</v>
      </c>
      <c r="D644" t="s">
        <v>15</v>
      </c>
      <c r="E644" t="s">
        <v>365</v>
      </c>
      <c r="F644">
        <v>8</v>
      </c>
      <c r="G644">
        <v>714</v>
      </c>
      <c r="H644">
        <v>5712</v>
      </c>
      <c r="I644">
        <v>1521</v>
      </c>
      <c r="J644" t="s">
        <v>17</v>
      </c>
    </row>
    <row r="645" spans="1:10" x14ac:dyDescent="0.35">
      <c r="A645" t="s">
        <v>715</v>
      </c>
      <c r="B645" s="1">
        <v>45219</v>
      </c>
      <c r="C645" t="s">
        <v>10</v>
      </c>
      <c r="D645" t="s">
        <v>15</v>
      </c>
      <c r="E645" t="s">
        <v>179</v>
      </c>
      <c r="F645">
        <v>4</v>
      </c>
      <c r="G645">
        <v>1094</v>
      </c>
      <c r="H645">
        <v>4376</v>
      </c>
      <c r="I645">
        <v>1328</v>
      </c>
      <c r="J645" t="s">
        <v>32</v>
      </c>
    </row>
    <row r="646" spans="1:10" x14ac:dyDescent="0.35">
      <c r="A646" t="s">
        <v>716</v>
      </c>
      <c r="B646" s="1">
        <v>45194</v>
      </c>
      <c r="C646" t="s">
        <v>10</v>
      </c>
      <c r="D646" t="s">
        <v>15</v>
      </c>
      <c r="E646" t="s">
        <v>365</v>
      </c>
      <c r="F646">
        <v>7</v>
      </c>
      <c r="G646">
        <v>1632</v>
      </c>
      <c r="H646">
        <v>11424</v>
      </c>
      <c r="I646">
        <v>1914</v>
      </c>
      <c r="J646" t="s">
        <v>13</v>
      </c>
    </row>
    <row r="647" spans="1:10" x14ac:dyDescent="0.35">
      <c r="A647" t="s">
        <v>717</v>
      </c>
      <c r="B647" s="1">
        <v>45253</v>
      </c>
      <c r="C647" t="s">
        <v>19</v>
      </c>
      <c r="D647" t="s">
        <v>15</v>
      </c>
      <c r="E647" t="s">
        <v>92</v>
      </c>
      <c r="F647">
        <v>10</v>
      </c>
      <c r="G647">
        <v>1421</v>
      </c>
      <c r="H647">
        <v>14210</v>
      </c>
      <c r="I647">
        <v>2874</v>
      </c>
      <c r="J647" t="s">
        <v>32</v>
      </c>
    </row>
    <row r="648" spans="1:10" x14ac:dyDescent="0.35">
      <c r="A648" t="s">
        <v>718</v>
      </c>
      <c r="B648" s="1">
        <v>45154</v>
      </c>
      <c r="C648" t="s">
        <v>19</v>
      </c>
      <c r="D648" t="s">
        <v>40</v>
      </c>
      <c r="E648" t="s">
        <v>111</v>
      </c>
      <c r="F648">
        <v>9</v>
      </c>
      <c r="G648">
        <v>2025</v>
      </c>
      <c r="H648">
        <v>18225</v>
      </c>
      <c r="I648">
        <v>4306</v>
      </c>
      <c r="J648" t="s">
        <v>17</v>
      </c>
    </row>
    <row r="649" spans="1:10" x14ac:dyDescent="0.35">
      <c r="A649" t="s">
        <v>719</v>
      </c>
      <c r="B649" s="1">
        <v>44940</v>
      </c>
      <c r="C649" t="s">
        <v>30</v>
      </c>
      <c r="D649" t="s">
        <v>25</v>
      </c>
      <c r="E649" t="s">
        <v>123</v>
      </c>
      <c r="F649">
        <v>2</v>
      </c>
      <c r="G649">
        <v>2304</v>
      </c>
      <c r="H649">
        <v>4608</v>
      </c>
      <c r="I649">
        <v>974</v>
      </c>
      <c r="J649" t="s">
        <v>13</v>
      </c>
    </row>
    <row r="650" spans="1:10" x14ac:dyDescent="0.35">
      <c r="A650" t="s">
        <v>720</v>
      </c>
      <c r="B650" s="1">
        <v>45235</v>
      </c>
      <c r="C650" t="s">
        <v>24</v>
      </c>
      <c r="D650" t="s">
        <v>11</v>
      </c>
      <c r="E650" t="s">
        <v>102</v>
      </c>
      <c r="F650">
        <v>9</v>
      </c>
      <c r="G650">
        <v>3590</v>
      </c>
      <c r="H650">
        <v>32310</v>
      </c>
      <c r="I650">
        <v>5040</v>
      </c>
      <c r="J650" t="s">
        <v>17</v>
      </c>
    </row>
    <row r="651" spans="1:10" x14ac:dyDescent="0.35">
      <c r="A651" t="s">
        <v>721</v>
      </c>
      <c r="B651" s="1">
        <v>45142</v>
      </c>
      <c r="C651" t="s">
        <v>19</v>
      </c>
      <c r="D651" t="s">
        <v>20</v>
      </c>
      <c r="E651" t="s">
        <v>12</v>
      </c>
      <c r="F651">
        <v>4</v>
      </c>
      <c r="G651">
        <v>2807</v>
      </c>
      <c r="H651">
        <v>11228</v>
      </c>
      <c r="I651">
        <v>3345</v>
      </c>
      <c r="J651" t="s">
        <v>17</v>
      </c>
    </row>
    <row r="652" spans="1:10" x14ac:dyDescent="0.35">
      <c r="A652" t="s">
        <v>722</v>
      </c>
      <c r="B652" s="1">
        <v>44935</v>
      </c>
      <c r="C652" t="s">
        <v>24</v>
      </c>
      <c r="D652" t="s">
        <v>15</v>
      </c>
      <c r="E652" t="s">
        <v>153</v>
      </c>
      <c r="F652">
        <v>1</v>
      </c>
      <c r="G652">
        <v>1784</v>
      </c>
      <c r="H652">
        <v>1784</v>
      </c>
      <c r="I652">
        <v>652</v>
      </c>
      <c r="J652" t="s">
        <v>22</v>
      </c>
    </row>
    <row r="653" spans="1:10" x14ac:dyDescent="0.35">
      <c r="A653" t="s">
        <v>723</v>
      </c>
      <c r="B653" s="1">
        <v>45106</v>
      </c>
      <c r="C653" t="s">
        <v>19</v>
      </c>
      <c r="D653" t="s">
        <v>20</v>
      </c>
      <c r="E653" t="s">
        <v>302</v>
      </c>
      <c r="F653">
        <v>3</v>
      </c>
      <c r="G653">
        <v>2630</v>
      </c>
      <c r="H653">
        <v>7890</v>
      </c>
      <c r="I653">
        <v>1971</v>
      </c>
      <c r="J653" t="s">
        <v>22</v>
      </c>
    </row>
    <row r="654" spans="1:10" x14ac:dyDescent="0.35">
      <c r="A654" t="s">
        <v>724</v>
      </c>
      <c r="B654" s="1">
        <v>45086</v>
      </c>
      <c r="C654" t="s">
        <v>24</v>
      </c>
      <c r="D654" t="s">
        <v>15</v>
      </c>
      <c r="E654" t="s">
        <v>128</v>
      </c>
      <c r="F654">
        <v>2</v>
      </c>
      <c r="G654">
        <v>864</v>
      </c>
      <c r="H654">
        <v>1728</v>
      </c>
      <c r="I654">
        <v>480</v>
      </c>
      <c r="J654" t="s">
        <v>32</v>
      </c>
    </row>
    <row r="655" spans="1:10" x14ac:dyDescent="0.35">
      <c r="A655" t="s">
        <v>725</v>
      </c>
      <c r="B655" s="1">
        <v>44931</v>
      </c>
      <c r="C655" t="s">
        <v>19</v>
      </c>
      <c r="D655" t="s">
        <v>40</v>
      </c>
      <c r="E655" t="s">
        <v>137</v>
      </c>
      <c r="F655">
        <v>8</v>
      </c>
      <c r="G655">
        <v>3382</v>
      </c>
      <c r="H655">
        <v>27056</v>
      </c>
      <c r="I655">
        <v>7920</v>
      </c>
      <c r="J655" t="s">
        <v>17</v>
      </c>
    </row>
    <row r="656" spans="1:10" x14ac:dyDescent="0.35">
      <c r="A656" t="s">
        <v>726</v>
      </c>
      <c r="B656" s="1">
        <v>45281</v>
      </c>
      <c r="C656" t="s">
        <v>24</v>
      </c>
      <c r="D656" t="s">
        <v>11</v>
      </c>
      <c r="E656" t="s">
        <v>48</v>
      </c>
      <c r="F656">
        <v>10</v>
      </c>
      <c r="G656">
        <v>4996</v>
      </c>
      <c r="H656">
        <v>49960</v>
      </c>
      <c r="I656">
        <v>18373</v>
      </c>
      <c r="J656" t="s">
        <v>13</v>
      </c>
    </row>
    <row r="657" spans="1:10" x14ac:dyDescent="0.35">
      <c r="A657" t="s">
        <v>727</v>
      </c>
      <c r="B657" s="1">
        <v>45027</v>
      </c>
      <c r="C657" t="s">
        <v>24</v>
      </c>
      <c r="D657" t="s">
        <v>11</v>
      </c>
      <c r="E657" t="s">
        <v>92</v>
      </c>
      <c r="F657">
        <v>4</v>
      </c>
      <c r="G657">
        <v>4753</v>
      </c>
      <c r="H657">
        <v>19012</v>
      </c>
      <c r="I657">
        <v>6697</v>
      </c>
      <c r="J657" t="s">
        <v>22</v>
      </c>
    </row>
    <row r="658" spans="1:10" x14ac:dyDescent="0.35">
      <c r="A658" t="s">
        <v>728</v>
      </c>
      <c r="B658" s="1">
        <v>45117</v>
      </c>
      <c r="C658" t="s">
        <v>10</v>
      </c>
      <c r="D658" t="s">
        <v>40</v>
      </c>
      <c r="E658" t="s">
        <v>173</v>
      </c>
      <c r="F658">
        <v>4</v>
      </c>
      <c r="G658">
        <v>1293</v>
      </c>
      <c r="H658">
        <v>5172</v>
      </c>
      <c r="I658">
        <v>1737</v>
      </c>
      <c r="J658" t="s">
        <v>32</v>
      </c>
    </row>
    <row r="659" spans="1:10" x14ac:dyDescent="0.35">
      <c r="A659" t="s">
        <v>729</v>
      </c>
      <c r="B659" s="1">
        <v>45161</v>
      </c>
      <c r="C659" t="s">
        <v>19</v>
      </c>
      <c r="D659" t="s">
        <v>40</v>
      </c>
      <c r="E659" t="s">
        <v>78</v>
      </c>
      <c r="F659">
        <v>1</v>
      </c>
      <c r="G659">
        <v>4509</v>
      </c>
      <c r="H659">
        <v>4509</v>
      </c>
      <c r="I659">
        <v>1237</v>
      </c>
      <c r="J659" t="s">
        <v>17</v>
      </c>
    </row>
    <row r="660" spans="1:10" x14ac:dyDescent="0.35">
      <c r="A660" t="s">
        <v>730</v>
      </c>
      <c r="B660" s="1">
        <v>45068</v>
      </c>
      <c r="C660" t="s">
        <v>30</v>
      </c>
      <c r="D660" t="s">
        <v>25</v>
      </c>
      <c r="E660" t="s">
        <v>149</v>
      </c>
      <c r="F660">
        <v>9</v>
      </c>
      <c r="G660">
        <v>1991</v>
      </c>
      <c r="H660">
        <v>17919</v>
      </c>
      <c r="I660">
        <v>5092</v>
      </c>
      <c r="J660" t="s">
        <v>13</v>
      </c>
    </row>
    <row r="661" spans="1:10" x14ac:dyDescent="0.35">
      <c r="A661" t="s">
        <v>731</v>
      </c>
      <c r="B661" s="1">
        <v>44977</v>
      </c>
      <c r="C661" t="s">
        <v>30</v>
      </c>
      <c r="D661" t="s">
        <v>11</v>
      </c>
      <c r="E661" t="s">
        <v>21</v>
      </c>
      <c r="F661">
        <v>7</v>
      </c>
      <c r="G661">
        <v>2230</v>
      </c>
      <c r="H661">
        <v>15610</v>
      </c>
      <c r="I661">
        <v>2960</v>
      </c>
      <c r="J661" t="s">
        <v>13</v>
      </c>
    </row>
    <row r="662" spans="1:10" x14ac:dyDescent="0.35">
      <c r="A662" t="s">
        <v>732</v>
      </c>
      <c r="B662" s="1">
        <v>45165</v>
      </c>
      <c r="C662" t="s">
        <v>19</v>
      </c>
      <c r="D662" t="s">
        <v>11</v>
      </c>
      <c r="E662" t="s">
        <v>173</v>
      </c>
      <c r="F662">
        <v>1</v>
      </c>
      <c r="G662">
        <v>930</v>
      </c>
      <c r="H662">
        <v>930</v>
      </c>
      <c r="I662">
        <v>202</v>
      </c>
      <c r="J662" t="s">
        <v>32</v>
      </c>
    </row>
    <row r="663" spans="1:10" x14ac:dyDescent="0.35">
      <c r="A663" t="s">
        <v>733</v>
      </c>
      <c r="B663" s="1">
        <v>45031</v>
      </c>
      <c r="C663" t="s">
        <v>10</v>
      </c>
      <c r="D663" t="s">
        <v>40</v>
      </c>
      <c r="E663" t="s">
        <v>208</v>
      </c>
      <c r="F663">
        <v>8</v>
      </c>
      <c r="G663">
        <v>2271</v>
      </c>
      <c r="H663">
        <v>18168</v>
      </c>
      <c r="I663">
        <v>3993</v>
      </c>
      <c r="J663" t="s">
        <v>17</v>
      </c>
    </row>
    <row r="664" spans="1:10" x14ac:dyDescent="0.35">
      <c r="A664" t="s">
        <v>734</v>
      </c>
      <c r="B664" s="1">
        <v>44944</v>
      </c>
      <c r="C664" t="s">
        <v>19</v>
      </c>
      <c r="D664" t="s">
        <v>15</v>
      </c>
      <c r="E664" t="s">
        <v>58</v>
      </c>
      <c r="F664">
        <v>7</v>
      </c>
      <c r="G664">
        <v>4585</v>
      </c>
      <c r="H664">
        <v>32095</v>
      </c>
      <c r="I664">
        <v>10414</v>
      </c>
      <c r="J664" t="s">
        <v>13</v>
      </c>
    </row>
    <row r="665" spans="1:10" x14ac:dyDescent="0.35">
      <c r="A665" t="s">
        <v>735</v>
      </c>
      <c r="B665" s="1">
        <v>44984</v>
      </c>
      <c r="C665" t="s">
        <v>24</v>
      </c>
      <c r="D665" t="s">
        <v>40</v>
      </c>
      <c r="E665" t="s">
        <v>68</v>
      </c>
      <c r="F665">
        <v>7</v>
      </c>
      <c r="G665">
        <v>3832</v>
      </c>
      <c r="H665">
        <v>26824</v>
      </c>
      <c r="I665">
        <v>5275</v>
      </c>
      <c r="J665" t="s">
        <v>13</v>
      </c>
    </row>
    <row r="666" spans="1:10" x14ac:dyDescent="0.35">
      <c r="A666" t="s">
        <v>736</v>
      </c>
      <c r="B666" s="1">
        <v>45162</v>
      </c>
      <c r="C666" t="s">
        <v>30</v>
      </c>
      <c r="D666" t="s">
        <v>11</v>
      </c>
      <c r="E666" t="s">
        <v>126</v>
      </c>
      <c r="F666">
        <v>4</v>
      </c>
      <c r="G666">
        <v>4466</v>
      </c>
      <c r="H666">
        <v>17864</v>
      </c>
      <c r="I666">
        <v>5111</v>
      </c>
      <c r="J666" t="s">
        <v>13</v>
      </c>
    </row>
    <row r="667" spans="1:10" x14ac:dyDescent="0.35">
      <c r="A667" t="s">
        <v>737</v>
      </c>
      <c r="B667" s="1">
        <v>44933</v>
      </c>
      <c r="C667" t="s">
        <v>19</v>
      </c>
      <c r="D667" t="s">
        <v>25</v>
      </c>
      <c r="E667" t="s">
        <v>16</v>
      </c>
      <c r="F667">
        <v>5</v>
      </c>
      <c r="G667">
        <v>771</v>
      </c>
      <c r="H667">
        <v>3855</v>
      </c>
      <c r="I667">
        <v>1145</v>
      </c>
      <c r="J667" t="s">
        <v>17</v>
      </c>
    </row>
    <row r="668" spans="1:10" x14ac:dyDescent="0.35">
      <c r="A668" t="s">
        <v>738</v>
      </c>
      <c r="B668" s="1">
        <v>45110</v>
      </c>
      <c r="C668" t="s">
        <v>10</v>
      </c>
      <c r="D668" t="s">
        <v>40</v>
      </c>
      <c r="E668" t="s">
        <v>41</v>
      </c>
      <c r="F668">
        <v>8</v>
      </c>
      <c r="G668">
        <v>1449</v>
      </c>
      <c r="H668">
        <v>11592</v>
      </c>
      <c r="I668">
        <v>1968</v>
      </c>
      <c r="J668" t="s">
        <v>17</v>
      </c>
    </row>
    <row r="669" spans="1:10" x14ac:dyDescent="0.35">
      <c r="A669" t="s">
        <v>739</v>
      </c>
      <c r="B669" s="1">
        <v>45172</v>
      </c>
      <c r="C669" t="s">
        <v>10</v>
      </c>
      <c r="D669" t="s">
        <v>11</v>
      </c>
      <c r="E669" t="s">
        <v>53</v>
      </c>
      <c r="F669">
        <v>10</v>
      </c>
      <c r="G669">
        <v>4611</v>
      </c>
      <c r="H669">
        <v>46110</v>
      </c>
      <c r="I669">
        <v>14070</v>
      </c>
      <c r="J669" t="s">
        <v>17</v>
      </c>
    </row>
    <row r="670" spans="1:10" x14ac:dyDescent="0.35">
      <c r="A670" t="s">
        <v>740</v>
      </c>
      <c r="B670" s="1">
        <v>45115</v>
      </c>
      <c r="C670" t="s">
        <v>10</v>
      </c>
      <c r="D670" t="s">
        <v>11</v>
      </c>
      <c r="E670" t="s">
        <v>92</v>
      </c>
      <c r="F670">
        <v>6</v>
      </c>
      <c r="G670">
        <v>2611</v>
      </c>
      <c r="H670">
        <v>15666</v>
      </c>
      <c r="I670">
        <v>2423</v>
      </c>
      <c r="J670" t="s">
        <v>17</v>
      </c>
    </row>
    <row r="671" spans="1:10" x14ac:dyDescent="0.35">
      <c r="A671" t="s">
        <v>741</v>
      </c>
      <c r="B671" s="1">
        <v>44999</v>
      </c>
      <c r="C671" t="s">
        <v>30</v>
      </c>
      <c r="D671" t="s">
        <v>40</v>
      </c>
      <c r="E671" t="s">
        <v>179</v>
      </c>
      <c r="F671">
        <v>5</v>
      </c>
      <c r="G671">
        <v>649</v>
      </c>
      <c r="H671">
        <v>3245</v>
      </c>
      <c r="I671">
        <v>1077</v>
      </c>
      <c r="J671" t="s">
        <v>32</v>
      </c>
    </row>
    <row r="672" spans="1:10" x14ac:dyDescent="0.35">
      <c r="A672" t="s">
        <v>742</v>
      </c>
      <c r="B672" s="1">
        <v>45005</v>
      </c>
      <c r="C672" t="s">
        <v>10</v>
      </c>
      <c r="D672" t="s">
        <v>20</v>
      </c>
      <c r="E672" t="s">
        <v>36</v>
      </c>
      <c r="F672">
        <v>6</v>
      </c>
      <c r="G672">
        <v>2019</v>
      </c>
      <c r="H672">
        <v>12114</v>
      </c>
      <c r="I672">
        <v>4660</v>
      </c>
      <c r="J672" t="s">
        <v>32</v>
      </c>
    </row>
    <row r="673" spans="1:10" x14ac:dyDescent="0.35">
      <c r="A673" t="s">
        <v>743</v>
      </c>
      <c r="B673" s="1">
        <v>45279</v>
      </c>
      <c r="C673" t="s">
        <v>10</v>
      </c>
      <c r="D673" t="s">
        <v>40</v>
      </c>
      <c r="E673" t="s">
        <v>58</v>
      </c>
      <c r="F673">
        <v>10</v>
      </c>
      <c r="G673">
        <v>3788</v>
      </c>
      <c r="H673">
        <v>37880</v>
      </c>
      <c r="I673">
        <v>4338</v>
      </c>
      <c r="J673" t="s">
        <v>13</v>
      </c>
    </row>
    <row r="674" spans="1:10" x14ac:dyDescent="0.35">
      <c r="A674" t="s">
        <v>744</v>
      </c>
      <c r="B674" s="1">
        <v>45126</v>
      </c>
      <c r="C674" t="s">
        <v>19</v>
      </c>
      <c r="D674" t="s">
        <v>40</v>
      </c>
      <c r="E674" t="s">
        <v>216</v>
      </c>
      <c r="F674">
        <v>8</v>
      </c>
      <c r="G674">
        <v>4217</v>
      </c>
      <c r="H674">
        <v>33736</v>
      </c>
      <c r="I674">
        <v>12561</v>
      </c>
      <c r="J674" t="s">
        <v>17</v>
      </c>
    </row>
    <row r="675" spans="1:10" x14ac:dyDescent="0.35">
      <c r="A675" t="s">
        <v>745</v>
      </c>
      <c r="B675" s="1">
        <v>44995</v>
      </c>
      <c r="C675" t="s">
        <v>30</v>
      </c>
      <c r="D675" t="s">
        <v>25</v>
      </c>
      <c r="E675" t="s">
        <v>87</v>
      </c>
      <c r="F675">
        <v>9</v>
      </c>
      <c r="G675">
        <v>4693</v>
      </c>
      <c r="H675">
        <v>42237</v>
      </c>
      <c r="I675">
        <v>4898</v>
      </c>
      <c r="J675" t="s">
        <v>17</v>
      </c>
    </row>
    <row r="676" spans="1:10" x14ac:dyDescent="0.35">
      <c r="A676" t="s">
        <v>746</v>
      </c>
      <c r="B676" s="1">
        <v>45268</v>
      </c>
      <c r="C676" t="s">
        <v>24</v>
      </c>
      <c r="D676" t="s">
        <v>11</v>
      </c>
      <c r="E676" t="s">
        <v>137</v>
      </c>
      <c r="F676">
        <v>8</v>
      </c>
      <c r="G676">
        <v>1157</v>
      </c>
      <c r="H676">
        <v>9256</v>
      </c>
      <c r="I676">
        <v>1693</v>
      </c>
      <c r="J676" t="s">
        <v>17</v>
      </c>
    </row>
    <row r="677" spans="1:10" x14ac:dyDescent="0.35">
      <c r="A677" t="s">
        <v>747</v>
      </c>
      <c r="B677" s="1">
        <v>45175</v>
      </c>
      <c r="C677" t="s">
        <v>24</v>
      </c>
      <c r="D677" t="s">
        <v>11</v>
      </c>
      <c r="E677" t="s">
        <v>128</v>
      </c>
      <c r="F677">
        <v>8</v>
      </c>
      <c r="G677">
        <v>2288</v>
      </c>
      <c r="H677">
        <v>18304</v>
      </c>
      <c r="I677">
        <v>6203</v>
      </c>
      <c r="J677" t="s">
        <v>32</v>
      </c>
    </row>
    <row r="678" spans="1:10" x14ac:dyDescent="0.35">
      <c r="A678" t="s">
        <v>748</v>
      </c>
      <c r="B678" s="1">
        <v>44984</v>
      </c>
      <c r="C678" t="s">
        <v>24</v>
      </c>
      <c r="D678" t="s">
        <v>20</v>
      </c>
      <c r="E678" t="s">
        <v>102</v>
      </c>
      <c r="F678">
        <v>2</v>
      </c>
      <c r="G678">
        <v>513</v>
      </c>
      <c r="H678">
        <v>1026</v>
      </c>
      <c r="I678">
        <v>171</v>
      </c>
      <c r="J678" t="s">
        <v>32</v>
      </c>
    </row>
    <row r="679" spans="1:10" x14ac:dyDescent="0.35">
      <c r="A679" t="s">
        <v>749</v>
      </c>
      <c r="B679" s="1">
        <v>45170</v>
      </c>
      <c r="C679" t="s">
        <v>24</v>
      </c>
      <c r="D679" t="s">
        <v>40</v>
      </c>
      <c r="E679" t="s">
        <v>218</v>
      </c>
      <c r="F679">
        <v>2</v>
      </c>
      <c r="G679">
        <v>973</v>
      </c>
      <c r="H679">
        <v>1946</v>
      </c>
      <c r="I679">
        <v>506</v>
      </c>
      <c r="J679" t="s">
        <v>32</v>
      </c>
    </row>
    <row r="680" spans="1:10" x14ac:dyDescent="0.35">
      <c r="A680" t="s">
        <v>750</v>
      </c>
      <c r="B680" s="1">
        <v>44977</v>
      </c>
      <c r="C680" t="s">
        <v>10</v>
      </c>
      <c r="D680" t="s">
        <v>25</v>
      </c>
      <c r="E680" t="s">
        <v>123</v>
      </c>
      <c r="F680">
        <v>3</v>
      </c>
      <c r="G680">
        <v>658</v>
      </c>
      <c r="H680">
        <v>1974</v>
      </c>
      <c r="I680">
        <v>364</v>
      </c>
      <c r="J680" t="s">
        <v>22</v>
      </c>
    </row>
    <row r="681" spans="1:10" x14ac:dyDescent="0.35">
      <c r="A681" t="s">
        <v>751</v>
      </c>
      <c r="B681" s="1">
        <v>45045</v>
      </c>
      <c r="C681" t="s">
        <v>30</v>
      </c>
      <c r="D681" t="s">
        <v>40</v>
      </c>
      <c r="E681" t="s">
        <v>208</v>
      </c>
      <c r="F681">
        <v>7</v>
      </c>
      <c r="G681">
        <v>3770</v>
      </c>
      <c r="H681">
        <v>26390</v>
      </c>
      <c r="I681">
        <v>9692</v>
      </c>
      <c r="J681" t="s">
        <v>22</v>
      </c>
    </row>
    <row r="682" spans="1:10" x14ac:dyDescent="0.35">
      <c r="A682" t="s">
        <v>752</v>
      </c>
      <c r="B682" s="1">
        <v>45283</v>
      </c>
      <c r="C682" t="s">
        <v>10</v>
      </c>
      <c r="D682" t="s">
        <v>25</v>
      </c>
      <c r="E682" t="s">
        <v>80</v>
      </c>
      <c r="F682">
        <v>1</v>
      </c>
      <c r="G682">
        <v>1104</v>
      </c>
      <c r="H682">
        <v>1104</v>
      </c>
      <c r="I682">
        <v>117</v>
      </c>
      <c r="J682" t="s">
        <v>32</v>
      </c>
    </row>
    <row r="683" spans="1:10" x14ac:dyDescent="0.35">
      <c r="A683" t="s">
        <v>753</v>
      </c>
      <c r="B683" s="1">
        <v>45265</v>
      </c>
      <c r="C683" t="s">
        <v>24</v>
      </c>
      <c r="D683" t="s">
        <v>40</v>
      </c>
      <c r="E683" t="s">
        <v>43</v>
      </c>
      <c r="F683">
        <v>2</v>
      </c>
      <c r="G683">
        <v>695</v>
      </c>
      <c r="H683">
        <v>1390</v>
      </c>
      <c r="I683">
        <v>145</v>
      </c>
      <c r="J683" t="s">
        <v>13</v>
      </c>
    </row>
    <row r="684" spans="1:10" x14ac:dyDescent="0.35">
      <c r="A684" t="s">
        <v>754</v>
      </c>
      <c r="B684" s="1">
        <v>45222</v>
      </c>
      <c r="C684" t="s">
        <v>24</v>
      </c>
      <c r="D684" t="s">
        <v>40</v>
      </c>
      <c r="E684" t="s">
        <v>153</v>
      </c>
      <c r="F684">
        <v>5</v>
      </c>
      <c r="G684">
        <v>875</v>
      </c>
      <c r="H684">
        <v>4375</v>
      </c>
      <c r="I684">
        <v>1477</v>
      </c>
      <c r="J684" t="s">
        <v>22</v>
      </c>
    </row>
    <row r="685" spans="1:10" x14ac:dyDescent="0.35">
      <c r="A685" t="s">
        <v>755</v>
      </c>
      <c r="B685" s="1">
        <v>45212</v>
      </c>
      <c r="C685" t="s">
        <v>24</v>
      </c>
      <c r="D685" t="s">
        <v>11</v>
      </c>
      <c r="E685" t="s">
        <v>74</v>
      </c>
      <c r="F685">
        <v>2</v>
      </c>
      <c r="G685">
        <v>4236</v>
      </c>
      <c r="H685">
        <v>8472</v>
      </c>
      <c r="I685">
        <v>1428</v>
      </c>
      <c r="J685" t="s">
        <v>17</v>
      </c>
    </row>
    <row r="686" spans="1:10" x14ac:dyDescent="0.35">
      <c r="A686" t="s">
        <v>756</v>
      </c>
      <c r="B686" s="1">
        <v>45097</v>
      </c>
      <c r="C686" t="s">
        <v>24</v>
      </c>
      <c r="D686" t="s">
        <v>11</v>
      </c>
      <c r="E686" t="s">
        <v>149</v>
      </c>
      <c r="F686">
        <v>7</v>
      </c>
      <c r="G686">
        <v>4493</v>
      </c>
      <c r="H686">
        <v>31451</v>
      </c>
      <c r="I686">
        <v>8571</v>
      </c>
      <c r="J686" t="s">
        <v>13</v>
      </c>
    </row>
    <row r="687" spans="1:10" x14ac:dyDescent="0.35">
      <c r="A687" t="s">
        <v>757</v>
      </c>
      <c r="B687" s="1">
        <v>44963</v>
      </c>
      <c r="C687" t="s">
        <v>30</v>
      </c>
      <c r="D687" t="s">
        <v>11</v>
      </c>
      <c r="E687" t="s">
        <v>46</v>
      </c>
      <c r="F687">
        <v>4</v>
      </c>
      <c r="G687">
        <v>3066</v>
      </c>
      <c r="H687">
        <v>12264</v>
      </c>
      <c r="I687">
        <v>3707</v>
      </c>
      <c r="J687" t="s">
        <v>17</v>
      </c>
    </row>
    <row r="688" spans="1:10" x14ac:dyDescent="0.35">
      <c r="A688" t="s">
        <v>758</v>
      </c>
      <c r="B688" s="1">
        <v>45156</v>
      </c>
      <c r="C688" t="s">
        <v>30</v>
      </c>
      <c r="D688" t="s">
        <v>40</v>
      </c>
      <c r="E688" t="s">
        <v>365</v>
      </c>
      <c r="F688">
        <v>1</v>
      </c>
      <c r="G688">
        <v>2986</v>
      </c>
      <c r="H688">
        <v>2986</v>
      </c>
      <c r="I688">
        <v>437</v>
      </c>
      <c r="J688" t="s">
        <v>13</v>
      </c>
    </row>
    <row r="689" spans="1:10" x14ac:dyDescent="0.35">
      <c r="A689" t="s">
        <v>759</v>
      </c>
      <c r="B689" s="1">
        <v>45242</v>
      </c>
      <c r="C689" t="s">
        <v>10</v>
      </c>
      <c r="D689" t="s">
        <v>20</v>
      </c>
      <c r="E689" t="s">
        <v>74</v>
      </c>
      <c r="F689">
        <v>6</v>
      </c>
      <c r="G689">
        <v>915</v>
      </c>
      <c r="H689">
        <v>5490</v>
      </c>
      <c r="I689">
        <v>1734</v>
      </c>
      <c r="J689" t="s">
        <v>22</v>
      </c>
    </row>
    <row r="690" spans="1:10" x14ac:dyDescent="0.35">
      <c r="A690" t="s">
        <v>760</v>
      </c>
      <c r="B690" s="1">
        <v>45014</v>
      </c>
      <c r="C690" t="s">
        <v>30</v>
      </c>
      <c r="D690" t="s">
        <v>40</v>
      </c>
      <c r="E690" t="s">
        <v>55</v>
      </c>
      <c r="F690">
        <v>1</v>
      </c>
      <c r="G690">
        <v>1423</v>
      </c>
      <c r="H690">
        <v>1423</v>
      </c>
      <c r="I690">
        <v>379</v>
      </c>
      <c r="J690" t="s">
        <v>13</v>
      </c>
    </row>
    <row r="691" spans="1:10" x14ac:dyDescent="0.35">
      <c r="A691" t="s">
        <v>761</v>
      </c>
      <c r="B691" s="1">
        <v>45007</v>
      </c>
      <c r="C691" t="s">
        <v>10</v>
      </c>
      <c r="D691" t="s">
        <v>11</v>
      </c>
      <c r="E691" t="s">
        <v>48</v>
      </c>
      <c r="F691">
        <v>1</v>
      </c>
      <c r="G691">
        <v>4540</v>
      </c>
      <c r="H691">
        <v>4540</v>
      </c>
      <c r="I691">
        <v>1341</v>
      </c>
      <c r="J691" t="s">
        <v>22</v>
      </c>
    </row>
    <row r="692" spans="1:10" x14ac:dyDescent="0.35">
      <c r="A692" t="s">
        <v>762</v>
      </c>
      <c r="B692" s="1">
        <v>45031</v>
      </c>
      <c r="C692" t="s">
        <v>19</v>
      </c>
      <c r="D692" t="s">
        <v>15</v>
      </c>
      <c r="E692" t="s">
        <v>71</v>
      </c>
      <c r="F692">
        <v>9</v>
      </c>
      <c r="G692">
        <v>3536</v>
      </c>
      <c r="H692">
        <v>31824</v>
      </c>
      <c r="I692">
        <v>12012</v>
      </c>
      <c r="J692" t="s">
        <v>13</v>
      </c>
    </row>
    <row r="693" spans="1:10" x14ac:dyDescent="0.35">
      <c r="A693" t="s">
        <v>763</v>
      </c>
      <c r="B693" s="1">
        <v>45079</v>
      </c>
      <c r="C693" t="s">
        <v>24</v>
      </c>
      <c r="D693" t="s">
        <v>40</v>
      </c>
      <c r="E693" t="s">
        <v>53</v>
      </c>
      <c r="F693">
        <v>3</v>
      </c>
      <c r="G693">
        <v>2190</v>
      </c>
      <c r="H693">
        <v>6570</v>
      </c>
      <c r="I693">
        <v>925</v>
      </c>
      <c r="J693" t="s">
        <v>32</v>
      </c>
    </row>
    <row r="694" spans="1:10" x14ac:dyDescent="0.35">
      <c r="A694" t="s">
        <v>764</v>
      </c>
      <c r="B694" s="1">
        <v>45146</v>
      </c>
      <c r="C694" t="s">
        <v>10</v>
      </c>
      <c r="D694" t="s">
        <v>11</v>
      </c>
      <c r="E694" t="s">
        <v>38</v>
      </c>
      <c r="F694">
        <v>5</v>
      </c>
      <c r="G694">
        <v>2715</v>
      </c>
      <c r="H694">
        <v>13575</v>
      </c>
      <c r="I694">
        <v>1406</v>
      </c>
      <c r="J694" t="s">
        <v>17</v>
      </c>
    </row>
    <row r="695" spans="1:10" x14ac:dyDescent="0.35">
      <c r="A695" t="s">
        <v>765</v>
      </c>
      <c r="B695" s="1">
        <v>44945</v>
      </c>
      <c r="C695" t="s">
        <v>10</v>
      </c>
      <c r="D695" t="s">
        <v>40</v>
      </c>
      <c r="E695" t="s">
        <v>46</v>
      </c>
      <c r="F695">
        <v>8</v>
      </c>
      <c r="G695">
        <v>3734</v>
      </c>
      <c r="H695">
        <v>29872</v>
      </c>
      <c r="I695">
        <v>5290</v>
      </c>
      <c r="J695" t="s">
        <v>17</v>
      </c>
    </row>
    <row r="696" spans="1:10" x14ac:dyDescent="0.35">
      <c r="A696" t="s">
        <v>766</v>
      </c>
      <c r="B696" s="1">
        <v>45071</v>
      </c>
      <c r="C696" t="s">
        <v>30</v>
      </c>
      <c r="D696" t="s">
        <v>15</v>
      </c>
      <c r="E696" t="s">
        <v>87</v>
      </c>
      <c r="F696">
        <v>3</v>
      </c>
      <c r="G696">
        <v>3496</v>
      </c>
      <c r="H696">
        <v>10488</v>
      </c>
      <c r="I696">
        <v>3874</v>
      </c>
      <c r="J696" t="s">
        <v>22</v>
      </c>
    </row>
    <row r="697" spans="1:10" x14ac:dyDescent="0.35">
      <c r="A697" t="s">
        <v>767</v>
      </c>
      <c r="B697" s="1">
        <v>45212</v>
      </c>
      <c r="C697" t="s">
        <v>10</v>
      </c>
      <c r="D697" t="s">
        <v>15</v>
      </c>
      <c r="E697" t="s">
        <v>173</v>
      </c>
      <c r="F697">
        <v>8</v>
      </c>
      <c r="G697">
        <v>3812</v>
      </c>
      <c r="H697">
        <v>30496</v>
      </c>
      <c r="I697">
        <v>11684</v>
      </c>
      <c r="J697" t="s">
        <v>13</v>
      </c>
    </row>
    <row r="698" spans="1:10" x14ac:dyDescent="0.35">
      <c r="A698" t="s">
        <v>768</v>
      </c>
      <c r="B698" s="1">
        <v>45008</v>
      </c>
      <c r="C698" t="s">
        <v>10</v>
      </c>
      <c r="D698" t="s">
        <v>25</v>
      </c>
      <c r="E698" t="s">
        <v>87</v>
      </c>
      <c r="F698">
        <v>1</v>
      </c>
      <c r="G698">
        <v>3492</v>
      </c>
      <c r="H698">
        <v>3492</v>
      </c>
      <c r="I698">
        <v>1114</v>
      </c>
      <c r="J698" t="s">
        <v>32</v>
      </c>
    </row>
    <row r="699" spans="1:10" x14ac:dyDescent="0.35">
      <c r="A699" t="s">
        <v>769</v>
      </c>
      <c r="B699" s="1">
        <v>45277</v>
      </c>
      <c r="C699" t="s">
        <v>10</v>
      </c>
      <c r="D699" t="s">
        <v>25</v>
      </c>
      <c r="E699" t="s">
        <v>16</v>
      </c>
      <c r="F699">
        <v>9</v>
      </c>
      <c r="G699">
        <v>1361</v>
      </c>
      <c r="H699">
        <v>12249</v>
      </c>
      <c r="I699">
        <v>2876</v>
      </c>
      <c r="J699" t="s">
        <v>32</v>
      </c>
    </row>
    <row r="700" spans="1:10" x14ac:dyDescent="0.35">
      <c r="A700" t="s">
        <v>770</v>
      </c>
      <c r="B700" s="1">
        <v>45019</v>
      </c>
      <c r="C700" t="s">
        <v>19</v>
      </c>
      <c r="D700" t="s">
        <v>40</v>
      </c>
      <c r="E700" t="s">
        <v>12</v>
      </c>
      <c r="F700">
        <v>4</v>
      </c>
      <c r="G700">
        <v>4870</v>
      </c>
      <c r="H700">
        <v>19480</v>
      </c>
      <c r="I700">
        <v>3416</v>
      </c>
      <c r="J700" t="s">
        <v>32</v>
      </c>
    </row>
    <row r="701" spans="1:10" x14ac:dyDescent="0.35">
      <c r="A701" t="s">
        <v>771</v>
      </c>
      <c r="B701" s="1">
        <v>45084</v>
      </c>
      <c r="C701" t="s">
        <v>30</v>
      </c>
      <c r="D701" t="s">
        <v>25</v>
      </c>
      <c r="E701" t="s">
        <v>218</v>
      </c>
      <c r="F701">
        <v>10</v>
      </c>
      <c r="G701">
        <v>1834</v>
      </c>
      <c r="H701">
        <v>18340</v>
      </c>
      <c r="I701">
        <v>4875</v>
      </c>
      <c r="J701" t="s">
        <v>13</v>
      </c>
    </row>
    <row r="702" spans="1:10" x14ac:dyDescent="0.35">
      <c r="A702" t="s">
        <v>772</v>
      </c>
      <c r="B702" s="1">
        <v>45232</v>
      </c>
      <c r="C702" t="s">
        <v>24</v>
      </c>
      <c r="D702" t="s">
        <v>20</v>
      </c>
      <c r="E702" t="s">
        <v>21</v>
      </c>
      <c r="F702">
        <v>2</v>
      </c>
      <c r="G702">
        <v>3587</v>
      </c>
      <c r="H702">
        <v>7174</v>
      </c>
      <c r="I702">
        <v>1526</v>
      </c>
      <c r="J702" t="s">
        <v>13</v>
      </c>
    </row>
    <row r="703" spans="1:10" x14ac:dyDescent="0.35">
      <c r="A703" t="s">
        <v>773</v>
      </c>
      <c r="B703" s="1">
        <v>45086</v>
      </c>
      <c r="C703" t="s">
        <v>24</v>
      </c>
      <c r="D703" t="s">
        <v>40</v>
      </c>
      <c r="E703" t="s">
        <v>123</v>
      </c>
      <c r="F703">
        <v>1</v>
      </c>
      <c r="G703">
        <v>1743</v>
      </c>
      <c r="H703">
        <v>1743</v>
      </c>
      <c r="I703">
        <v>331</v>
      </c>
      <c r="J703" t="s">
        <v>17</v>
      </c>
    </row>
    <row r="704" spans="1:10" x14ac:dyDescent="0.35">
      <c r="A704" t="s">
        <v>774</v>
      </c>
      <c r="B704" s="1">
        <v>45007</v>
      </c>
      <c r="C704" t="s">
        <v>19</v>
      </c>
      <c r="D704" t="s">
        <v>20</v>
      </c>
      <c r="E704" t="s">
        <v>126</v>
      </c>
      <c r="F704">
        <v>3</v>
      </c>
      <c r="G704">
        <v>1966</v>
      </c>
      <c r="H704">
        <v>5898</v>
      </c>
      <c r="I704">
        <v>1306</v>
      </c>
      <c r="J704" t="s">
        <v>17</v>
      </c>
    </row>
    <row r="705" spans="1:10" x14ac:dyDescent="0.35">
      <c r="A705" t="s">
        <v>775</v>
      </c>
      <c r="B705" s="1">
        <v>45164</v>
      </c>
      <c r="C705" t="s">
        <v>19</v>
      </c>
      <c r="D705" t="s">
        <v>15</v>
      </c>
      <c r="E705" t="s">
        <v>208</v>
      </c>
      <c r="F705">
        <v>8</v>
      </c>
      <c r="G705">
        <v>1331</v>
      </c>
      <c r="H705">
        <v>10648</v>
      </c>
      <c r="I705">
        <v>3646</v>
      </c>
      <c r="J705" t="s">
        <v>32</v>
      </c>
    </row>
    <row r="706" spans="1:10" x14ac:dyDescent="0.35">
      <c r="A706" t="s">
        <v>776</v>
      </c>
      <c r="B706" s="1">
        <v>45127</v>
      </c>
      <c r="C706" t="s">
        <v>24</v>
      </c>
      <c r="D706" t="s">
        <v>15</v>
      </c>
      <c r="E706" t="s">
        <v>48</v>
      </c>
      <c r="F706">
        <v>4</v>
      </c>
      <c r="G706">
        <v>3751</v>
      </c>
      <c r="H706">
        <v>15004</v>
      </c>
      <c r="I706">
        <v>1599</v>
      </c>
      <c r="J706" t="s">
        <v>32</v>
      </c>
    </row>
    <row r="707" spans="1:10" x14ac:dyDescent="0.35">
      <c r="A707" t="s">
        <v>777</v>
      </c>
      <c r="B707" s="1">
        <v>44959</v>
      </c>
      <c r="C707" t="s">
        <v>10</v>
      </c>
      <c r="D707" t="s">
        <v>25</v>
      </c>
      <c r="E707" t="s">
        <v>92</v>
      </c>
      <c r="F707">
        <v>6</v>
      </c>
      <c r="G707">
        <v>626</v>
      </c>
      <c r="H707">
        <v>3756</v>
      </c>
      <c r="I707">
        <v>379</v>
      </c>
      <c r="J707" t="s">
        <v>13</v>
      </c>
    </row>
    <row r="708" spans="1:10" x14ac:dyDescent="0.35">
      <c r="A708" t="s">
        <v>778</v>
      </c>
      <c r="B708" s="1">
        <v>45072</v>
      </c>
      <c r="C708" t="s">
        <v>24</v>
      </c>
      <c r="D708" t="s">
        <v>25</v>
      </c>
      <c r="E708" t="s">
        <v>153</v>
      </c>
      <c r="F708">
        <v>4</v>
      </c>
      <c r="G708">
        <v>2157</v>
      </c>
      <c r="H708">
        <v>8628</v>
      </c>
      <c r="I708">
        <v>1879</v>
      </c>
      <c r="J708" t="s">
        <v>13</v>
      </c>
    </row>
    <row r="709" spans="1:10" x14ac:dyDescent="0.35">
      <c r="A709" t="s">
        <v>779</v>
      </c>
      <c r="B709" s="1">
        <v>45182</v>
      </c>
      <c r="C709" t="s">
        <v>19</v>
      </c>
      <c r="D709" t="s">
        <v>11</v>
      </c>
      <c r="E709" t="s">
        <v>36</v>
      </c>
      <c r="F709">
        <v>9</v>
      </c>
      <c r="G709">
        <v>4492</v>
      </c>
      <c r="H709">
        <v>40428</v>
      </c>
      <c r="I709">
        <v>14218</v>
      </c>
      <c r="J709" t="s">
        <v>13</v>
      </c>
    </row>
    <row r="710" spans="1:10" x14ac:dyDescent="0.35">
      <c r="A710" t="s">
        <v>780</v>
      </c>
      <c r="B710" s="1">
        <v>45056</v>
      </c>
      <c r="C710" t="s">
        <v>19</v>
      </c>
      <c r="D710" t="s">
        <v>15</v>
      </c>
      <c r="E710" t="s">
        <v>149</v>
      </c>
      <c r="F710">
        <v>2</v>
      </c>
      <c r="G710">
        <v>1696</v>
      </c>
      <c r="H710">
        <v>3392</v>
      </c>
      <c r="I710">
        <v>1310</v>
      </c>
      <c r="J710" t="s">
        <v>22</v>
      </c>
    </row>
    <row r="711" spans="1:10" x14ac:dyDescent="0.35">
      <c r="A711" t="s">
        <v>781</v>
      </c>
      <c r="B711" s="1">
        <v>45001</v>
      </c>
      <c r="C711" t="s">
        <v>24</v>
      </c>
      <c r="D711" t="s">
        <v>25</v>
      </c>
      <c r="E711" t="s">
        <v>118</v>
      </c>
      <c r="F711">
        <v>10</v>
      </c>
      <c r="G711">
        <v>4396</v>
      </c>
      <c r="H711">
        <v>43960</v>
      </c>
      <c r="I711">
        <v>6965</v>
      </c>
      <c r="J711" t="s">
        <v>32</v>
      </c>
    </row>
    <row r="712" spans="1:10" x14ac:dyDescent="0.35">
      <c r="A712" t="s">
        <v>782</v>
      </c>
      <c r="B712" s="1">
        <v>45252</v>
      </c>
      <c r="C712" t="s">
        <v>24</v>
      </c>
      <c r="D712" t="s">
        <v>40</v>
      </c>
      <c r="E712" t="s">
        <v>21</v>
      </c>
      <c r="F712">
        <v>3</v>
      </c>
      <c r="G712">
        <v>3329</v>
      </c>
      <c r="H712">
        <v>9987</v>
      </c>
      <c r="I712">
        <v>1725</v>
      </c>
      <c r="J712" t="s">
        <v>22</v>
      </c>
    </row>
    <row r="713" spans="1:10" x14ac:dyDescent="0.35">
      <c r="A713" t="s">
        <v>783</v>
      </c>
      <c r="B713" s="1">
        <v>45193</v>
      </c>
      <c r="C713" t="s">
        <v>10</v>
      </c>
      <c r="D713" t="s">
        <v>20</v>
      </c>
      <c r="E713" t="s">
        <v>87</v>
      </c>
      <c r="F713">
        <v>7</v>
      </c>
      <c r="G713">
        <v>3108</v>
      </c>
      <c r="H713">
        <v>21756</v>
      </c>
      <c r="I713">
        <v>7917</v>
      </c>
      <c r="J713" t="s">
        <v>13</v>
      </c>
    </row>
    <row r="714" spans="1:10" x14ac:dyDescent="0.35">
      <c r="A714" t="s">
        <v>784</v>
      </c>
      <c r="B714" s="1">
        <v>45211</v>
      </c>
      <c r="C714" t="s">
        <v>10</v>
      </c>
      <c r="D714" t="s">
        <v>25</v>
      </c>
      <c r="E714" t="s">
        <v>153</v>
      </c>
      <c r="F714">
        <v>10</v>
      </c>
      <c r="G714">
        <v>1295</v>
      </c>
      <c r="H714">
        <v>12950</v>
      </c>
      <c r="I714">
        <v>3932</v>
      </c>
      <c r="J714" t="s">
        <v>22</v>
      </c>
    </row>
    <row r="715" spans="1:10" x14ac:dyDescent="0.35">
      <c r="A715" t="s">
        <v>785</v>
      </c>
      <c r="B715" s="1">
        <v>45245</v>
      </c>
      <c r="C715" t="s">
        <v>24</v>
      </c>
      <c r="D715" t="s">
        <v>11</v>
      </c>
      <c r="E715" t="s">
        <v>12</v>
      </c>
      <c r="F715">
        <v>7</v>
      </c>
      <c r="G715">
        <v>4681</v>
      </c>
      <c r="H715">
        <v>32767</v>
      </c>
      <c r="I715">
        <v>6785</v>
      </c>
      <c r="J715" t="s">
        <v>22</v>
      </c>
    </row>
    <row r="716" spans="1:10" x14ac:dyDescent="0.35">
      <c r="A716" t="s">
        <v>786</v>
      </c>
      <c r="B716" s="1">
        <v>45209</v>
      </c>
      <c r="C716" t="s">
        <v>24</v>
      </c>
      <c r="D716" t="s">
        <v>20</v>
      </c>
      <c r="E716" t="s">
        <v>60</v>
      </c>
      <c r="F716">
        <v>8</v>
      </c>
      <c r="G716">
        <v>4915</v>
      </c>
      <c r="H716">
        <v>39320</v>
      </c>
      <c r="I716">
        <v>7753</v>
      </c>
      <c r="J716" t="s">
        <v>13</v>
      </c>
    </row>
    <row r="717" spans="1:10" x14ac:dyDescent="0.35">
      <c r="A717" t="s">
        <v>787</v>
      </c>
      <c r="B717" s="1">
        <v>45043</v>
      </c>
      <c r="C717" t="s">
        <v>19</v>
      </c>
      <c r="D717" t="s">
        <v>20</v>
      </c>
      <c r="E717" t="s">
        <v>21</v>
      </c>
      <c r="F717">
        <v>3</v>
      </c>
      <c r="G717">
        <v>2666</v>
      </c>
      <c r="H717">
        <v>7998</v>
      </c>
      <c r="I717">
        <v>2754</v>
      </c>
      <c r="J717" t="s">
        <v>13</v>
      </c>
    </row>
    <row r="718" spans="1:10" x14ac:dyDescent="0.35">
      <c r="A718" t="s">
        <v>788</v>
      </c>
      <c r="B718" s="1">
        <v>45172</v>
      </c>
      <c r="C718" t="s">
        <v>10</v>
      </c>
      <c r="D718" t="s">
        <v>25</v>
      </c>
      <c r="E718" t="s">
        <v>151</v>
      </c>
      <c r="F718">
        <v>4</v>
      </c>
      <c r="G718">
        <v>2930</v>
      </c>
      <c r="H718">
        <v>11720</v>
      </c>
      <c r="I718">
        <v>2864</v>
      </c>
      <c r="J718" t="s">
        <v>22</v>
      </c>
    </row>
    <row r="719" spans="1:10" x14ac:dyDescent="0.35">
      <c r="A719" t="s">
        <v>789</v>
      </c>
      <c r="B719" s="1">
        <v>45006</v>
      </c>
      <c r="C719" t="s">
        <v>19</v>
      </c>
      <c r="D719" t="s">
        <v>25</v>
      </c>
      <c r="E719" t="s">
        <v>126</v>
      </c>
      <c r="F719">
        <v>5</v>
      </c>
      <c r="G719">
        <v>4865</v>
      </c>
      <c r="H719">
        <v>24325</v>
      </c>
      <c r="I719">
        <v>3603</v>
      </c>
      <c r="J719" t="s">
        <v>22</v>
      </c>
    </row>
    <row r="720" spans="1:10" x14ac:dyDescent="0.35">
      <c r="A720" t="s">
        <v>790</v>
      </c>
      <c r="B720" s="1">
        <v>44998</v>
      </c>
      <c r="C720" t="s">
        <v>30</v>
      </c>
      <c r="D720" t="s">
        <v>11</v>
      </c>
      <c r="E720" t="s">
        <v>68</v>
      </c>
      <c r="F720">
        <v>8</v>
      </c>
      <c r="G720">
        <v>4517</v>
      </c>
      <c r="H720">
        <v>36136</v>
      </c>
      <c r="I720">
        <v>7417</v>
      </c>
      <c r="J720" t="s">
        <v>13</v>
      </c>
    </row>
    <row r="721" spans="1:10" x14ac:dyDescent="0.35">
      <c r="A721" t="s">
        <v>791</v>
      </c>
      <c r="B721" s="1">
        <v>45228</v>
      </c>
      <c r="C721" t="s">
        <v>24</v>
      </c>
      <c r="D721" t="s">
        <v>40</v>
      </c>
      <c r="E721" t="s">
        <v>60</v>
      </c>
      <c r="F721">
        <v>3</v>
      </c>
      <c r="G721">
        <v>1542</v>
      </c>
      <c r="H721">
        <v>4626</v>
      </c>
      <c r="I721">
        <v>590</v>
      </c>
      <c r="J721" t="s">
        <v>22</v>
      </c>
    </row>
    <row r="722" spans="1:10" x14ac:dyDescent="0.35">
      <c r="A722" t="s">
        <v>792</v>
      </c>
      <c r="B722" s="1">
        <v>44994</v>
      </c>
      <c r="C722" t="s">
        <v>30</v>
      </c>
      <c r="D722" t="s">
        <v>25</v>
      </c>
      <c r="E722" t="s">
        <v>208</v>
      </c>
      <c r="F722">
        <v>6</v>
      </c>
      <c r="G722">
        <v>3024</v>
      </c>
      <c r="H722">
        <v>18144</v>
      </c>
      <c r="I722">
        <v>3348</v>
      </c>
      <c r="J722" t="s">
        <v>13</v>
      </c>
    </row>
    <row r="723" spans="1:10" x14ac:dyDescent="0.35">
      <c r="A723" t="s">
        <v>793</v>
      </c>
      <c r="B723" s="1">
        <v>44954</v>
      </c>
      <c r="C723" t="s">
        <v>24</v>
      </c>
      <c r="D723" t="s">
        <v>25</v>
      </c>
      <c r="E723" t="s">
        <v>58</v>
      </c>
      <c r="F723">
        <v>1</v>
      </c>
      <c r="G723">
        <v>3909</v>
      </c>
      <c r="H723">
        <v>3909</v>
      </c>
      <c r="I723">
        <v>1395</v>
      </c>
      <c r="J723" t="s">
        <v>17</v>
      </c>
    </row>
    <row r="724" spans="1:10" x14ac:dyDescent="0.35">
      <c r="A724" t="s">
        <v>794</v>
      </c>
      <c r="B724" s="1">
        <v>45190</v>
      </c>
      <c r="C724" t="s">
        <v>19</v>
      </c>
      <c r="D724" t="s">
        <v>15</v>
      </c>
      <c r="E724" t="s">
        <v>12</v>
      </c>
      <c r="F724">
        <v>7</v>
      </c>
      <c r="G724">
        <v>1626</v>
      </c>
      <c r="H724">
        <v>11382</v>
      </c>
      <c r="I724">
        <v>3241</v>
      </c>
      <c r="J724" t="s">
        <v>32</v>
      </c>
    </row>
    <row r="725" spans="1:10" x14ac:dyDescent="0.35">
      <c r="A725" t="s">
        <v>795</v>
      </c>
      <c r="B725" s="1">
        <v>45016</v>
      </c>
      <c r="C725" t="s">
        <v>30</v>
      </c>
      <c r="D725" t="s">
        <v>11</v>
      </c>
      <c r="E725" t="s">
        <v>64</v>
      </c>
      <c r="F725">
        <v>2</v>
      </c>
      <c r="G725">
        <v>4638</v>
      </c>
      <c r="H725">
        <v>9276</v>
      </c>
      <c r="I725">
        <v>957</v>
      </c>
      <c r="J725" t="s">
        <v>13</v>
      </c>
    </row>
    <row r="726" spans="1:10" x14ac:dyDescent="0.35">
      <c r="A726" t="s">
        <v>796</v>
      </c>
      <c r="B726" s="1">
        <v>45157</v>
      </c>
      <c r="C726" t="s">
        <v>19</v>
      </c>
      <c r="D726" t="s">
        <v>20</v>
      </c>
      <c r="E726" t="s">
        <v>100</v>
      </c>
      <c r="F726">
        <v>7</v>
      </c>
      <c r="G726">
        <v>569</v>
      </c>
      <c r="H726">
        <v>3983</v>
      </c>
      <c r="I726">
        <v>577</v>
      </c>
      <c r="J726" t="s">
        <v>13</v>
      </c>
    </row>
    <row r="727" spans="1:10" x14ac:dyDescent="0.35">
      <c r="A727" t="s">
        <v>797</v>
      </c>
      <c r="B727" s="1">
        <v>45036</v>
      </c>
      <c r="C727" t="s">
        <v>19</v>
      </c>
      <c r="D727" t="s">
        <v>40</v>
      </c>
      <c r="E727" t="s">
        <v>38</v>
      </c>
      <c r="F727">
        <v>6</v>
      </c>
      <c r="G727">
        <v>3791</v>
      </c>
      <c r="H727">
        <v>22746</v>
      </c>
      <c r="I727">
        <v>8659</v>
      </c>
      <c r="J727" t="s">
        <v>32</v>
      </c>
    </row>
    <row r="728" spans="1:10" x14ac:dyDescent="0.35">
      <c r="A728" t="s">
        <v>798</v>
      </c>
      <c r="B728" s="1">
        <v>45195</v>
      </c>
      <c r="C728" t="s">
        <v>10</v>
      </c>
      <c r="D728" t="s">
        <v>15</v>
      </c>
      <c r="E728" t="s">
        <v>58</v>
      </c>
      <c r="F728">
        <v>1</v>
      </c>
      <c r="G728">
        <v>1763</v>
      </c>
      <c r="H728">
        <v>1763</v>
      </c>
      <c r="I728">
        <v>499</v>
      </c>
      <c r="J728" t="s">
        <v>32</v>
      </c>
    </row>
    <row r="729" spans="1:10" x14ac:dyDescent="0.35">
      <c r="A729" t="s">
        <v>799</v>
      </c>
      <c r="B729" s="1">
        <v>45221</v>
      </c>
      <c r="C729" t="s">
        <v>30</v>
      </c>
      <c r="D729" t="s">
        <v>25</v>
      </c>
      <c r="E729" t="s">
        <v>60</v>
      </c>
      <c r="F729">
        <v>6</v>
      </c>
      <c r="G729">
        <v>4999</v>
      </c>
      <c r="H729">
        <v>29994</v>
      </c>
      <c r="I729">
        <v>4356</v>
      </c>
      <c r="J729" t="s">
        <v>13</v>
      </c>
    </row>
    <row r="730" spans="1:10" x14ac:dyDescent="0.35">
      <c r="A730" t="s">
        <v>800</v>
      </c>
      <c r="B730" s="1">
        <v>45149</v>
      </c>
      <c r="C730" t="s">
        <v>24</v>
      </c>
      <c r="D730" t="s">
        <v>20</v>
      </c>
      <c r="E730" t="s">
        <v>64</v>
      </c>
      <c r="F730">
        <v>5</v>
      </c>
      <c r="G730">
        <v>937</v>
      </c>
      <c r="H730">
        <v>4685</v>
      </c>
      <c r="I730">
        <v>982</v>
      </c>
      <c r="J730" t="s">
        <v>22</v>
      </c>
    </row>
    <row r="731" spans="1:10" x14ac:dyDescent="0.35">
      <c r="A731" t="s">
        <v>801</v>
      </c>
      <c r="B731" s="1">
        <v>45125</v>
      </c>
      <c r="C731" t="s">
        <v>30</v>
      </c>
      <c r="D731" t="s">
        <v>25</v>
      </c>
      <c r="E731" t="s">
        <v>113</v>
      </c>
      <c r="F731">
        <v>7</v>
      </c>
      <c r="G731">
        <v>4843</v>
      </c>
      <c r="H731">
        <v>33901</v>
      </c>
      <c r="I731">
        <v>12922</v>
      </c>
      <c r="J731" t="s">
        <v>17</v>
      </c>
    </row>
    <row r="732" spans="1:10" x14ac:dyDescent="0.35">
      <c r="A732" t="s">
        <v>802</v>
      </c>
      <c r="B732" s="1">
        <v>45172</v>
      </c>
      <c r="C732" t="s">
        <v>19</v>
      </c>
      <c r="D732" t="s">
        <v>11</v>
      </c>
      <c r="E732" t="s">
        <v>31</v>
      </c>
      <c r="F732">
        <v>8</v>
      </c>
      <c r="G732">
        <v>1258</v>
      </c>
      <c r="H732">
        <v>10064</v>
      </c>
      <c r="I732">
        <v>3777</v>
      </c>
      <c r="J732" t="s">
        <v>13</v>
      </c>
    </row>
    <row r="733" spans="1:10" x14ac:dyDescent="0.35">
      <c r="A733" t="s">
        <v>803</v>
      </c>
      <c r="B733" s="1">
        <v>45272</v>
      </c>
      <c r="C733" t="s">
        <v>19</v>
      </c>
      <c r="D733" t="s">
        <v>11</v>
      </c>
      <c r="E733" t="s">
        <v>168</v>
      </c>
      <c r="F733">
        <v>10</v>
      </c>
      <c r="G733">
        <v>1393</v>
      </c>
      <c r="H733">
        <v>13930</v>
      </c>
      <c r="I733">
        <v>1880</v>
      </c>
      <c r="J733" t="s">
        <v>22</v>
      </c>
    </row>
    <row r="734" spans="1:10" x14ac:dyDescent="0.35">
      <c r="A734" t="s">
        <v>804</v>
      </c>
      <c r="B734" s="1">
        <v>45088</v>
      </c>
      <c r="C734" t="s">
        <v>19</v>
      </c>
      <c r="D734" t="s">
        <v>40</v>
      </c>
      <c r="E734" t="s">
        <v>62</v>
      </c>
      <c r="F734">
        <v>4</v>
      </c>
      <c r="G734">
        <v>654</v>
      </c>
      <c r="H734">
        <v>2616</v>
      </c>
      <c r="I734">
        <v>465</v>
      </c>
      <c r="J734" t="s">
        <v>13</v>
      </c>
    </row>
    <row r="735" spans="1:10" x14ac:dyDescent="0.35">
      <c r="A735" t="s">
        <v>805</v>
      </c>
      <c r="B735" s="1">
        <v>44974</v>
      </c>
      <c r="C735" t="s">
        <v>19</v>
      </c>
      <c r="D735" t="s">
        <v>15</v>
      </c>
      <c r="E735" t="s">
        <v>87</v>
      </c>
      <c r="F735">
        <v>9</v>
      </c>
      <c r="G735">
        <v>1039</v>
      </c>
      <c r="H735">
        <v>9351</v>
      </c>
      <c r="I735">
        <v>1650</v>
      </c>
      <c r="J735" t="s">
        <v>22</v>
      </c>
    </row>
    <row r="736" spans="1:10" x14ac:dyDescent="0.35">
      <c r="A736" t="s">
        <v>806</v>
      </c>
      <c r="B736" s="1">
        <v>44950</v>
      </c>
      <c r="C736" t="s">
        <v>19</v>
      </c>
      <c r="D736" t="s">
        <v>20</v>
      </c>
      <c r="E736" t="s">
        <v>153</v>
      </c>
      <c r="F736">
        <v>4</v>
      </c>
      <c r="G736">
        <v>775</v>
      </c>
      <c r="H736">
        <v>3100</v>
      </c>
      <c r="I736">
        <v>322</v>
      </c>
      <c r="J736" t="s">
        <v>13</v>
      </c>
    </row>
    <row r="737" spans="1:10" x14ac:dyDescent="0.35">
      <c r="A737" t="s">
        <v>807</v>
      </c>
      <c r="B737" s="1">
        <v>45146</v>
      </c>
      <c r="C737" t="s">
        <v>30</v>
      </c>
      <c r="D737" t="s">
        <v>15</v>
      </c>
      <c r="E737" t="s">
        <v>58</v>
      </c>
      <c r="F737">
        <v>9</v>
      </c>
      <c r="G737">
        <v>1597</v>
      </c>
      <c r="H737">
        <v>14373</v>
      </c>
      <c r="I737">
        <v>2774</v>
      </c>
      <c r="J737" t="s">
        <v>22</v>
      </c>
    </row>
    <row r="738" spans="1:10" x14ac:dyDescent="0.35">
      <c r="A738" t="s">
        <v>808</v>
      </c>
      <c r="B738" s="1">
        <v>44930</v>
      </c>
      <c r="C738" t="s">
        <v>24</v>
      </c>
      <c r="D738" t="s">
        <v>11</v>
      </c>
      <c r="E738" t="s">
        <v>168</v>
      </c>
      <c r="F738">
        <v>9</v>
      </c>
      <c r="G738">
        <v>3729</v>
      </c>
      <c r="H738">
        <v>33561</v>
      </c>
      <c r="I738">
        <v>7907</v>
      </c>
      <c r="J738" t="s">
        <v>13</v>
      </c>
    </row>
    <row r="739" spans="1:10" x14ac:dyDescent="0.35">
      <c r="A739" t="s">
        <v>809</v>
      </c>
      <c r="B739" s="1">
        <v>45169</v>
      </c>
      <c r="C739" t="s">
        <v>24</v>
      </c>
      <c r="D739" t="s">
        <v>11</v>
      </c>
      <c r="E739" t="s">
        <v>74</v>
      </c>
      <c r="F739">
        <v>1</v>
      </c>
      <c r="G739">
        <v>4319</v>
      </c>
      <c r="H739">
        <v>4319</v>
      </c>
      <c r="I739">
        <v>994</v>
      </c>
      <c r="J739" t="s">
        <v>22</v>
      </c>
    </row>
    <row r="740" spans="1:10" x14ac:dyDescent="0.35">
      <c r="A740" t="s">
        <v>810</v>
      </c>
      <c r="B740" s="1">
        <v>45216</v>
      </c>
      <c r="C740" t="s">
        <v>24</v>
      </c>
      <c r="D740" t="s">
        <v>20</v>
      </c>
      <c r="E740" t="s">
        <v>55</v>
      </c>
      <c r="F740">
        <v>5</v>
      </c>
      <c r="G740">
        <v>3239</v>
      </c>
      <c r="H740">
        <v>16195</v>
      </c>
      <c r="I740">
        <v>6327</v>
      </c>
      <c r="J740" t="s">
        <v>22</v>
      </c>
    </row>
    <row r="741" spans="1:10" x14ac:dyDescent="0.35">
      <c r="A741" t="s">
        <v>811</v>
      </c>
      <c r="B741" s="1">
        <v>45130</v>
      </c>
      <c r="C741" t="s">
        <v>30</v>
      </c>
      <c r="D741" t="s">
        <v>11</v>
      </c>
      <c r="E741" t="s">
        <v>111</v>
      </c>
      <c r="F741">
        <v>9</v>
      </c>
      <c r="G741">
        <v>1628</v>
      </c>
      <c r="H741">
        <v>14652</v>
      </c>
      <c r="I741">
        <v>1542</v>
      </c>
      <c r="J741" t="s">
        <v>32</v>
      </c>
    </row>
    <row r="742" spans="1:10" x14ac:dyDescent="0.35">
      <c r="A742" t="s">
        <v>812</v>
      </c>
      <c r="B742" s="1">
        <v>45146</v>
      </c>
      <c r="C742" t="s">
        <v>30</v>
      </c>
      <c r="D742" t="s">
        <v>25</v>
      </c>
      <c r="E742" t="s">
        <v>21</v>
      </c>
      <c r="F742">
        <v>7</v>
      </c>
      <c r="G742">
        <v>2156</v>
      </c>
      <c r="H742">
        <v>15092</v>
      </c>
      <c r="I742">
        <v>4769</v>
      </c>
      <c r="J742" t="s">
        <v>13</v>
      </c>
    </row>
    <row r="743" spans="1:10" x14ac:dyDescent="0.35">
      <c r="A743" t="s">
        <v>813</v>
      </c>
      <c r="B743" s="1">
        <v>45121</v>
      </c>
      <c r="C743" t="s">
        <v>24</v>
      </c>
      <c r="D743" t="s">
        <v>25</v>
      </c>
      <c r="E743" t="s">
        <v>87</v>
      </c>
      <c r="F743">
        <v>1</v>
      </c>
      <c r="G743">
        <v>3416</v>
      </c>
      <c r="H743">
        <v>3416</v>
      </c>
      <c r="I743">
        <v>731</v>
      </c>
      <c r="J743" t="s">
        <v>13</v>
      </c>
    </row>
    <row r="744" spans="1:10" x14ac:dyDescent="0.35">
      <c r="A744" t="s">
        <v>814</v>
      </c>
      <c r="B744" s="1">
        <v>44983</v>
      </c>
      <c r="C744" t="s">
        <v>30</v>
      </c>
      <c r="D744" t="s">
        <v>25</v>
      </c>
      <c r="E744" t="s">
        <v>216</v>
      </c>
      <c r="F744">
        <v>6</v>
      </c>
      <c r="G744">
        <v>4514</v>
      </c>
      <c r="H744">
        <v>27084</v>
      </c>
      <c r="I744">
        <v>7247</v>
      </c>
      <c r="J744" t="s">
        <v>32</v>
      </c>
    </row>
    <row r="745" spans="1:10" x14ac:dyDescent="0.35">
      <c r="A745" t="s">
        <v>815</v>
      </c>
      <c r="B745" s="1">
        <v>45285</v>
      </c>
      <c r="C745" t="s">
        <v>24</v>
      </c>
      <c r="D745" t="s">
        <v>20</v>
      </c>
      <c r="E745" t="s">
        <v>208</v>
      </c>
      <c r="F745">
        <v>1</v>
      </c>
      <c r="G745">
        <v>3320</v>
      </c>
      <c r="H745">
        <v>3320</v>
      </c>
      <c r="I745">
        <v>1265</v>
      </c>
      <c r="J745" t="s">
        <v>13</v>
      </c>
    </row>
    <row r="746" spans="1:10" x14ac:dyDescent="0.35">
      <c r="A746" t="s">
        <v>816</v>
      </c>
      <c r="B746" s="1">
        <v>44964</v>
      </c>
      <c r="C746" t="s">
        <v>10</v>
      </c>
      <c r="D746" t="s">
        <v>20</v>
      </c>
      <c r="E746" t="s">
        <v>149</v>
      </c>
      <c r="F746">
        <v>10</v>
      </c>
      <c r="G746">
        <v>2246</v>
      </c>
      <c r="H746">
        <v>22460</v>
      </c>
      <c r="I746">
        <v>4575</v>
      </c>
      <c r="J746" t="s">
        <v>13</v>
      </c>
    </row>
    <row r="747" spans="1:10" x14ac:dyDescent="0.35">
      <c r="A747" t="s">
        <v>817</v>
      </c>
      <c r="B747" s="1">
        <v>45079</v>
      </c>
      <c r="C747" t="s">
        <v>30</v>
      </c>
      <c r="D747" t="s">
        <v>25</v>
      </c>
      <c r="E747" t="s">
        <v>168</v>
      </c>
      <c r="F747">
        <v>2</v>
      </c>
      <c r="G747">
        <v>4569</v>
      </c>
      <c r="H747">
        <v>9138</v>
      </c>
      <c r="I747">
        <v>1532</v>
      </c>
      <c r="J747" t="s">
        <v>13</v>
      </c>
    </row>
    <row r="748" spans="1:10" x14ac:dyDescent="0.35">
      <c r="A748" t="s">
        <v>818</v>
      </c>
      <c r="B748" s="1">
        <v>45199</v>
      </c>
      <c r="C748" t="s">
        <v>30</v>
      </c>
      <c r="D748" t="s">
        <v>15</v>
      </c>
      <c r="E748" t="s">
        <v>149</v>
      </c>
      <c r="F748">
        <v>4</v>
      </c>
      <c r="G748">
        <v>2301</v>
      </c>
      <c r="H748">
        <v>9204</v>
      </c>
      <c r="I748">
        <v>3584</v>
      </c>
      <c r="J748" t="s">
        <v>32</v>
      </c>
    </row>
    <row r="749" spans="1:10" x14ac:dyDescent="0.35">
      <c r="A749" t="s">
        <v>819</v>
      </c>
      <c r="B749" s="1">
        <v>45252</v>
      </c>
      <c r="C749" t="s">
        <v>24</v>
      </c>
      <c r="D749" t="s">
        <v>40</v>
      </c>
      <c r="E749" t="s">
        <v>111</v>
      </c>
      <c r="F749">
        <v>2</v>
      </c>
      <c r="G749">
        <v>3172</v>
      </c>
      <c r="H749">
        <v>6344</v>
      </c>
      <c r="I749">
        <v>713</v>
      </c>
      <c r="J749" t="s">
        <v>17</v>
      </c>
    </row>
    <row r="750" spans="1:10" x14ac:dyDescent="0.35">
      <c r="A750" t="s">
        <v>820</v>
      </c>
      <c r="B750" s="1">
        <v>44929</v>
      </c>
      <c r="C750" t="s">
        <v>30</v>
      </c>
      <c r="D750" t="s">
        <v>25</v>
      </c>
      <c r="E750" t="s">
        <v>216</v>
      </c>
      <c r="F750">
        <v>7</v>
      </c>
      <c r="G750">
        <v>4526</v>
      </c>
      <c r="H750">
        <v>31682</v>
      </c>
      <c r="I750">
        <v>5860</v>
      </c>
      <c r="J750" t="s">
        <v>32</v>
      </c>
    </row>
    <row r="751" spans="1:10" x14ac:dyDescent="0.35">
      <c r="A751" t="s">
        <v>821</v>
      </c>
      <c r="B751" s="1">
        <v>45053</v>
      </c>
      <c r="C751" t="s">
        <v>19</v>
      </c>
      <c r="D751" t="s">
        <v>40</v>
      </c>
      <c r="E751" t="s">
        <v>118</v>
      </c>
      <c r="F751">
        <v>8</v>
      </c>
      <c r="G751">
        <v>4559</v>
      </c>
      <c r="H751">
        <v>36472</v>
      </c>
      <c r="I751">
        <v>14500</v>
      </c>
      <c r="J751" t="s">
        <v>32</v>
      </c>
    </row>
    <row r="752" spans="1:10" x14ac:dyDescent="0.35">
      <c r="A752" t="s">
        <v>822</v>
      </c>
      <c r="B752" s="1">
        <v>45118</v>
      </c>
      <c r="C752" t="s">
        <v>10</v>
      </c>
      <c r="D752" t="s">
        <v>40</v>
      </c>
      <c r="E752" t="s">
        <v>149</v>
      </c>
      <c r="F752">
        <v>6</v>
      </c>
      <c r="G752">
        <v>3033</v>
      </c>
      <c r="H752">
        <v>18198</v>
      </c>
      <c r="I752">
        <v>5984</v>
      </c>
      <c r="J752" t="s">
        <v>32</v>
      </c>
    </row>
    <row r="753" spans="1:10" x14ac:dyDescent="0.35">
      <c r="A753" t="s">
        <v>823</v>
      </c>
      <c r="B753" s="1">
        <v>45046</v>
      </c>
      <c r="C753" t="s">
        <v>10</v>
      </c>
      <c r="D753" t="s">
        <v>25</v>
      </c>
      <c r="E753" t="s">
        <v>62</v>
      </c>
      <c r="F753">
        <v>4</v>
      </c>
      <c r="G753">
        <v>2530</v>
      </c>
      <c r="H753">
        <v>10120</v>
      </c>
      <c r="I753">
        <v>3107</v>
      </c>
      <c r="J753" t="s">
        <v>13</v>
      </c>
    </row>
    <row r="754" spans="1:10" x14ac:dyDescent="0.35">
      <c r="A754" t="s">
        <v>824</v>
      </c>
      <c r="B754" s="1">
        <v>45109</v>
      </c>
      <c r="C754" t="s">
        <v>10</v>
      </c>
      <c r="D754" t="s">
        <v>25</v>
      </c>
      <c r="E754" t="s">
        <v>12</v>
      </c>
      <c r="F754">
        <v>7</v>
      </c>
      <c r="G754">
        <v>2834</v>
      </c>
      <c r="H754">
        <v>19838</v>
      </c>
      <c r="I754">
        <v>4993</v>
      </c>
      <c r="J754" t="s">
        <v>13</v>
      </c>
    </row>
    <row r="755" spans="1:10" x14ac:dyDescent="0.35">
      <c r="A755" t="s">
        <v>825</v>
      </c>
      <c r="B755" s="1">
        <v>45167</v>
      </c>
      <c r="C755" t="s">
        <v>24</v>
      </c>
      <c r="D755" t="s">
        <v>11</v>
      </c>
      <c r="E755" t="s">
        <v>126</v>
      </c>
      <c r="F755">
        <v>4</v>
      </c>
      <c r="G755">
        <v>2899</v>
      </c>
      <c r="H755">
        <v>11596</v>
      </c>
      <c r="I755">
        <v>2868</v>
      </c>
      <c r="J755" t="s">
        <v>13</v>
      </c>
    </row>
    <row r="756" spans="1:10" x14ac:dyDescent="0.35">
      <c r="A756" t="s">
        <v>826</v>
      </c>
      <c r="B756" s="1">
        <v>45200</v>
      </c>
      <c r="C756" t="s">
        <v>10</v>
      </c>
      <c r="D756" t="s">
        <v>11</v>
      </c>
      <c r="E756" t="s">
        <v>62</v>
      </c>
      <c r="F756">
        <v>2</v>
      </c>
      <c r="G756">
        <v>2552</v>
      </c>
      <c r="H756">
        <v>5104</v>
      </c>
      <c r="I756">
        <v>1873</v>
      </c>
      <c r="J756" t="s">
        <v>22</v>
      </c>
    </row>
    <row r="757" spans="1:10" x14ac:dyDescent="0.35">
      <c r="A757" t="s">
        <v>827</v>
      </c>
      <c r="B757" s="1">
        <v>45023</v>
      </c>
      <c r="C757" t="s">
        <v>24</v>
      </c>
      <c r="D757" t="s">
        <v>25</v>
      </c>
      <c r="E757" t="s">
        <v>216</v>
      </c>
      <c r="F757">
        <v>8</v>
      </c>
      <c r="G757">
        <v>3713</v>
      </c>
      <c r="H757">
        <v>29704</v>
      </c>
      <c r="I757">
        <v>11513</v>
      </c>
      <c r="J757" t="s">
        <v>32</v>
      </c>
    </row>
    <row r="758" spans="1:10" x14ac:dyDescent="0.35">
      <c r="A758" t="s">
        <v>828</v>
      </c>
      <c r="B758" s="1">
        <v>45009</v>
      </c>
      <c r="C758" t="s">
        <v>30</v>
      </c>
      <c r="D758" t="s">
        <v>20</v>
      </c>
      <c r="E758" t="s">
        <v>60</v>
      </c>
      <c r="F758">
        <v>10</v>
      </c>
      <c r="G758">
        <v>4084</v>
      </c>
      <c r="H758">
        <v>40840</v>
      </c>
      <c r="I758">
        <v>4427</v>
      </c>
      <c r="J758" t="s">
        <v>32</v>
      </c>
    </row>
    <row r="759" spans="1:10" x14ac:dyDescent="0.35">
      <c r="A759" t="s">
        <v>829</v>
      </c>
      <c r="B759" s="1">
        <v>45231</v>
      </c>
      <c r="C759" t="s">
        <v>19</v>
      </c>
      <c r="D759" t="s">
        <v>11</v>
      </c>
      <c r="E759" t="s">
        <v>46</v>
      </c>
      <c r="F759">
        <v>7</v>
      </c>
      <c r="G759">
        <v>3750</v>
      </c>
      <c r="H759">
        <v>26250</v>
      </c>
      <c r="I759">
        <v>6739</v>
      </c>
      <c r="J759" t="s">
        <v>13</v>
      </c>
    </row>
    <row r="760" spans="1:10" x14ac:dyDescent="0.35">
      <c r="A760" t="s">
        <v>830</v>
      </c>
      <c r="B760" s="1">
        <v>45065</v>
      </c>
      <c r="C760" t="s">
        <v>10</v>
      </c>
      <c r="D760" t="s">
        <v>25</v>
      </c>
      <c r="E760" t="s">
        <v>16</v>
      </c>
      <c r="F760">
        <v>2</v>
      </c>
      <c r="G760">
        <v>1536</v>
      </c>
      <c r="H760">
        <v>3072</v>
      </c>
      <c r="I760">
        <v>1132</v>
      </c>
      <c r="J760" t="s">
        <v>22</v>
      </c>
    </row>
    <row r="761" spans="1:10" x14ac:dyDescent="0.35">
      <c r="A761" t="s">
        <v>831</v>
      </c>
      <c r="B761" s="1">
        <v>45089</v>
      </c>
      <c r="C761" t="s">
        <v>30</v>
      </c>
      <c r="D761" t="s">
        <v>25</v>
      </c>
      <c r="E761" t="s">
        <v>16</v>
      </c>
      <c r="F761">
        <v>5</v>
      </c>
      <c r="G761">
        <v>3747</v>
      </c>
      <c r="H761">
        <v>18735</v>
      </c>
      <c r="I761">
        <v>7397</v>
      </c>
      <c r="J761" t="s">
        <v>17</v>
      </c>
    </row>
    <row r="762" spans="1:10" x14ac:dyDescent="0.35">
      <c r="A762" t="s">
        <v>832</v>
      </c>
      <c r="B762" s="1">
        <v>45054</v>
      </c>
      <c r="C762" t="s">
        <v>10</v>
      </c>
      <c r="D762" t="s">
        <v>40</v>
      </c>
      <c r="E762" t="s">
        <v>80</v>
      </c>
      <c r="F762">
        <v>8</v>
      </c>
      <c r="G762">
        <v>2442</v>
      </c>
      <c r="H762">
        <v>19536</v>
      </c>
      <c r="I762">
        <v>3364</v>
      </c>
      <c r="J762" t="s">
        <v>13</v>
      </c>
    </row>
    <row r="763" spans="1:10" x14ac:dyDescent="0.35">
      <c r="A763" t="s">
        <v>833</v>
      </c>
      <c r="B763" s="1">
        <v>44968</v>
      </c>
      <c r="C763" t="s">
        <v>30</v>
      </c>
      <c r="D763" t="s">
        <v>15</v>
      </c>
      <c r="E763" t="s">
        <v>111</v>
      </c>
      <c r="F763">
        <v>1</v>
      </c>
      <c r="G763">
        <v>4463</v>
      </c>
      <c r="H763">
        <v>4463</v>
      </c>
      <c r="I763">
        <v>1559</v>
      </c>
      <c r="J763" t="s">
        <v>22</v>
      </c>
    </row>
    <row r="764" spans="1:10" x14ac:dyDescent="0.35">
      <c r="A764" t="s">
        <v>834</v>
      </c>
      <c r="B764" s="1">
        <v>45124</v>
      </c>
      <c r="C764" t="s">
        <v>30</v>
      </c>
      <c r="D764" t="s">
        <v>40</v>
      </c>
      <c r="E764" t="s">
        <v>151</v>
      </c>
      <c r="F764">
        <v>1</v>
      </c>
      <c r="G764">
        <v>4164</v>
      </c>
      <c r="H764">
        <v>4164</v>
      </c>
      <c r="I764">
        <v>1350</v>
      </c>
      <c r="J764" t="s">
        <v>13</v>
      </c>
    </row>
    <row r="765" spans="1:10" x14ac:dyDescent="0.35">
      <c r="A765" t="s">
        <v>835</v>
      </c>
      <c r="B765" s="1">
        <v>45072</v>
      </c>
      <c r="C765" t="s">
        <v>30</v>
      </c>
      <c r="D765" t="s">
        <v>25</v>
      </c>
      <c r="E765" t="s">
        <v>208</v>
      </c>
      <c r="F765">
        <v>9</v>
      </c>
      <c r="G765">
        <v>610</v>
      </c>
      <c r="H765">
        <v>5490</v>
      </c>
      <c r="I765">
        <v>1044</v>
      </c>
      <c r="J765" t="s">
        <v>17</v>
      </c>
    </row>
    <row r="766" spans="1:10" x14ac:dyDescent="0.35">
      <c r="A766" t="s">
        <v>836</v>
      </c>
      <c r="B766" s="1">
        <v>45184</v>
      </c>
      <c r="C766" t="s">
        <v>10</v>
      </c>
      <c r="D766" t="s">
        <v>11</v>
      </c>
      <c r="E766" t="s">
        <v>102</v>
      </c>
      <c r="F766">
        <v>5</v>
      </c>
      <c r="G766">
        <v>1016</v>
      </c>
      <c r="H766">
        <v>5080</v>
      </c>
      <c r="I766">
        <v>799</v>
      </c>
      <c r="J766" t="s">
        <v>17</v>
      </c>
    </row>
    <row r="767" spans="1:10" x14ac:dyDescent="0.35">
      <c r="A767" t="s">
        <v>837</v>
      </c>
      <c r="B767" s="1">
        <v>44938</v>
      </c>
      <c r="C767" t="s">
        <v>24</v>
      </c>
      <c r="D767" t="s">
        <v>15</v>
      </c>
      <c r="E767" t="s">
        <v>60</v>
      </c>
      <c r="F767">
        <v>5</v>
      </c>
      <c r="G767">
        <v>4903</v>
      </c>
      <c r="H767">
        <v>24515</v>
      </c>
      <c r="I767">
        <v>3112</v>
      </c>
      <c r="J767" t="s">
        <v>13</v>
      </c>
    </row>
    <row r="768" spans="1:10" x14ac:dyDescent="0.35">
      <c r="A768" t="s">
        <v>838</v>
      </c>
      <c r="B768" s="1">
        <v>45102</v>
      </c>
      <c r="C768" t="s">
        <v>19</v>
      </c>
      <c r="D768" t="s">
        <v>40</v>
      </c>
      <c r="E768" t="s">
        <v>34</v>
      </c>
      <c r="F768">
        <v>1</v>
      </c>
      <c r="G768">
        <v>2226</v>
      </c>
      <c r="H768">
        <v>2226</v>
      </c>
      <c r="I768">
        <v>630</v>
      </c>
      <c r="J768" t="s">
        <v>17</v>
      </c>
    </row>
    <row r="769" spans="1:10" x14ac:dyDescent="0.35">
      <c r="A769" t="s">
        <v>839</v>
      </c>
      <c r="B769" s="1">
        <v>45001</v>
      </c>
      <c r="C769" t="s">
        <v>24</v>
      </c>
      <c r="D769" t="s">
        <v>20</v>
      </c>
      <c r="E769" t="s">
        <v>149</v>
      </c>
      <c r="F769">
        <v>5</v>
      </c>
      <c r="G769">
        <v>4966</v>
      </c>
      <c r="H769">
        <v>24830</v>
      </c>
      <c r="I769">
        <v>9418</v>
      </c>
      <c r="J769" t="s">
        <v>17</v>
      </c>
    </row>
    <row r="770" spans="1:10" x14ac:dyDescent="0.35">
      <c r="A770" t="s">
        <v>840</v>
      </c>
      <c r="B770" s="1">
        <v>45223</v>
      </c>
      <c r="C770" t="s">
        <v>24</v>
      </c>
      <c r="D770" t="s">
        <v>11</v>
      </c>
      <c r="E770" t="s">
        <v>102</v>
      </c>
      <c r="F770">
        <v>3</v>
      </c>
      <c r="G770">
        <v>1093</v>
      </c>
      <c r="H770">
        <v>3279</v>
      </c>
      <c r="I770">
        <v>1059</v>
      </c>
      <c r="J770" t="s">
        <v>32</v>
      </c>
    </row>
    <row r="771" spans="1:10" x14ac:dyDescent="0.35">
      <c r="A771" t="s">
        <v>841</v>
      </c>
      <c r="B771" s="1">
        <v>45070</v>
      </c>
      <c r="C771" t="s">
        <v>24</v>
      </c>
      <c r="D771" t="s">
        <v>25</v>
      </c>
      <c r="E771" t="s">
        <v>168</v>
      </c>
      <c r="F771">
        <v>9</v>
      </c>
      <c r="G771">
        <v>908</v>
      </c>
      <c r="H771">
        <v>8172</v>
      </c>
      <c r="I771">
        <v>2910</v>
      </c>
      <c r="J771" t="s">
        <v>17</v>
      </c>
    </row>
    <row r="772" spans="1:10" x14ac:dyDescent="0.35">
      <c r="A772" t="s">
        <v>842</v>
      </c>
      <c r="B772" s="1">
        <v>45010</v>
      </c>
      <c r="C772" t="s">
        <v>24</v>
      </c>
      <c r="D772" t="s">
        <v>11</v>
      </c>
      <c r="E772" t="s">
        <v>43</v>
      </c>
      <c r="F772">
        <v>5</v>
      </c>
      <c r="G772">
        <v>3002</v>
      </c>
      <c r="H772">
        <v>15010</v>
      </c>
      <c r="I772">
        <v>5786</v>
      </c>
      <c r="J772" t="s">
        <v>17</v>
      </c>
    </row>
    <row r="773" spans="1:10" x14ac:dyDescent="0.35">
      <c r="A773" t="s">
        <v>843</v>
      </c>
      <c r="B773" s="1">
        <v>45268</v>
      </c>
      <c r="C773" t="s">
        <v>30</v>
      </c>
      <c r="D773" t="s">
        <v>11</v>
      </c>
      <c r="E773" t="s">
        <v>34</v>
      </c>
      <c r="F773">
        <v>6</v>
      </c>
      <c r="G773">
        <v>4972</v>
      </c>
      <c r="H773">
        <v>29832</v>
      </c>
      <c r="I773">
        <v>3954</v>
      </c>
      <c r="J773" t="s">
        <v>32</v>
      </c>
    </row>
    <row r="774" spans="1:10" x14ac:dyDescent="0.35">
      <c r="A774" t="s">
        <v>844</v>
      </c>
      <c r="B774" s="1">
        <v>45143</v>
      </c>
      <c r="C774" t="s">
        <v>24</v>
      </c>
      <c r="D774" t="s">
        <v>20</v>
      </c>
      <c r="E774" t="s">
        <v>34</v>
      </c>
      <c r="F774">
        <v>1</v>
      </c>
      <c r="G774">
        <v>3905</v>
      </c>
      <c r="H774">
        <v>3905</v>
      </c>
      <c r="I774">
        <v>1365</v>
      </c>
      <c r="J774" t="s">
        <v>17</v>
      </c>
    </row>
    <row r="775" spans="1:10" x14ac:dyDescent="0.35">
      <c r="A775" t="s">
        <v>845</v>
      </c>
      <c r="B775" s="1">
        <v>45268</v>
      </c>
      <c r="C775" t="s">
        <v>30</v>
      </c>
      <c r="D775" t="s">
        <v>40</v>
      </c>
      <c r="E775" t="s">
        <v>53</v>
      </c>
      <c r="F775">
        <v>3</v>
      </c>
      <c r="G775">
        <v>3678</v>
      </c>
      <c r="H775">
        <v>11034</v>
      </c>
      <c r="I775">
        <v>4252</v>
      </c>
      <c r="J775" t="s">
        <v>32</v>
      </c>
    </row>
    <row r="776" spans="1:10" x14ac:dyDescent="0.35">
      <c r="A776" t="s">
        <v>846</v>
      </c>
      <c r="B776" s="1">
        <v>45077</v>
      </c>
      <c r="C776" t="s">
        <v>10</v>
      </c>
      <c r="D776" t="s">
        <v>25</v>
      </c>
      <c r="E776" t="s">
        <v>102</v>
      </c>
      <c r="F776">
        <v>10</v>
      </c>
      <c r="G776">
        <v>4391</v>
      </c>
      <c r="H776">
        <v>43910</v>
      </c>
      <c r="I776">
        <v>15454</v>
      </c>
      <c r="J776" t="s">
        <v>13</v>
      </c>
    </row>
    <row r="777" spans="1:10" x14ac:dyDescent="0.35">
      <c r="A777" t="s">
        <v>847</v>
      </c>
      <c r="B777" s="1">
        <v>45035</v>
      </c>
      <c r="C777" t="s">
        <v>19</v>
      </c>
      <c r="D777" t="s">
        <v>15</v>
      </c>
      <c r="E777" t="s">
        <v>71</v>
      </c>
      <c r="F777">
        <v>10</v>
      </c>
      <c r="G777">
        <v>1261</v>
      </c>
      <c r="H777">
        <v>12610</v>
      </c>
      <c r="I777">
        <v>4095</v>
      </c>
      <c r="J777" t="s">
        <v>32</v>
      </c>
    </row>
    <row r="778" spans="1:10" x14ac:dyDescent="0.35">
      <c r="A778" t="s">
        <v>848</v>
      </c>
      <c r="B778" s="1">
        <v>45203</v>
      </c>
      <c r="C778" t="s">
        <v>30</v>
      </c>
      <c r="D778" t="s">
        <v>40</v>
      </c>
      <c r="E778" t="s">
        <v>16</v>
      </c>
      <c r="F778">
        <v>1</v>
      </c>
      <c r="G778">
        <v>1666</v>
      </c>
      <c r="H778">
        <v>1666</v>
      </c>
      <c r="I778">
        <v>276</v>
      </c>
      <c r="J778" t="s">
        <v>17</v>
      </c>
    </row>
    <row r="779" spans="1:10" x14ac:dyDescent="0.35">
      <c r="A779" t="s">
        <v>849</v>
      </c>
      <c r="B779" s="1">
        <v>45043</v>
      </c>
      <c r="C779" t="s">
        <v>10</v>
      </c>
      <c r="D779" t="s">
        <v>15</v>
      </c>
      <c r="E779" t="s">
        <v>46</v>
      </c>
      <c r="F779">
        <v>7</v>
      </c>
      <c r="G779">
        <v>4125</v>
      </c>
      <c r="H779">
        <v>28875</v>
      </c>
      <c r="I779">
        <v>4154</v>
      </c>
      <c r="J779" t="s">
        <v>22</v>
      </c>
    </row>
    <row r="780" spans="1:10" x14ac:dyDescent="0.35">
      <c r="A780" t="s">
        <v>850</v>
      </c>
      <c r="B780" s="1">
        <v>45253</v>
      </c>
      <c r="C780" t="s">
        <v>19</v>
      </c>
      <c r="D780" t="s">
        <v>15</v>
      </c>
      <c r="E780" t="s">
        <v>71</v>
      </c>
      <c r="F780">
        <v>5</v>
      </c>
      <c r="G780">
        <v>2449</v>
      </c>
      <c r="H780">
        <v>12245</v>
      </c>
      <c r="I780">
        <v>3934</v>
      </c>
      <c r="J780" t="s">
        <v>13</v>
      </c>
    </row>
    <row r="781" spans="1:10" x14ac:dyDescent="0.35">
      <c r="A781" t="s">
        <v>851</v>
      </c>
      <c r="B781" s="1">
        <v>45020</v>
      </c>
      <c r="C781" t="s">
        <v>19</v>
      </c>
      <c r="D781" t="s">
        <v>15</v>
      </c>
      <c r="E781" t="s">
        <v>78</v>
      </c>
      <c r="F781">
        <v>5</v>
      </c>
      <c r="G781">
        <v>2916</v>
      </c>
      <c r="H781">
        <v>14580</v>
      </c>
      <c r="I781">
        <v>2435</v>
      </c>
      <c r="J781" t="s">
        <v>17</v>
      </c>
    </row>
    <row r="782" spans="1:10" x14ac:dyDescent="0.35">
      <c r="A782" t="s">
        <v>852</v>
      </c>
      <c r="B782" s="1">
        <v>44986</v>
      </c>
      <c r="C782" t="s">
        <v>10</v>
      </c>
      <c r="D782" t="s">
        <v>25</v>
      </c>
      <c r="E782" t="s">
        <v>87</v>
      </c>
      <c r="F782">
        <v>5</v>
      </c>
      <c r="G782">
        <v>1306</v>
      </c>
      <c r="H782">
        <v>6530</v>
      </c>
      <c r="I782">
        <v>1204</v>
      </c>
      <c r="J782" t="s">
        <v>13</v>
      </c>
    </row>
    <row r="783" spans="1:10" x14ac:dyDescent="0.35">
      <c r="A783" t="s">
        <v>853</v>
      </c>
      <c r="B783" s="1">
        <v>44939</v>
      </c>
      <c r="C783" t="s">
        <v>24</v>
      </c>
      <c r="D783" t="s">
        <v>15</v>
      </c>
      <c r="E783" t="s">
        <v>41</v>
      </c>
      <c r="F783">
        <v>2</v>
      </c>
      <c r="G783">
        <v>3628</v>
      </c>
      <c r="H783">
        <v>7256</v>
      </c>
      <c r="I783">
        <v>794</v>
      </c>
      <c r="J783" t="s">
        <v>17</v>
      </c>
    </row>
    <row r="784" spans="1:10" x14ac:dyDescent="0.35">
      <c r="A784" t="s">
        <v>854</v>
      </c>
      <c r="B784" s="1">
        <v>45089</v>
      </c>
      <c r="C784" t="s">
        <v>10</v>
      </c>
      <c r="D784" t="s">
        <v>40</v>
      </c>
      <c r="E784" t="s">
        <v>153</v>
      </c>
      <c r="F784">
        <v>10</v>
      </c>
      <c r="G784">
        <v>3527</v>
      </c>
      <c r="H784">
        <v>35270</v>
      </c>
      <c r="I784">
        <v>10674</v>
      </c>
      <c r="J784" t="s">
        <v>17</v>
      </c>
    </row>
    <row r="785" spans="1:10" x14ac:dyDescent="0.35">
      <c r="A785" t="s">
        <v>855</v>
      </c>
      <c r="B785" s="1">
        <v>45045</v>
      </c>
      <c r="C785" t="s">
        <v>30</v>
      </c>
      <c r="D785" t="s">
        <v>11</v>
      </c>
      <c r="E785" t="s">
        <v>55</v>
      </c>
      <c r="F785">
        <v>9</v>
      </c>
      <c r="G785">
        <v>4776</v>
      </c>
      <c r="H785">
        <v>42984</v>
      </c>
      <c r="I785">
        <v>7968</v>
      </c>
      <c r="J785" t="s">
        <v>17</v>
      </c>
    </row>
    <row r="786" spans="1:10" x14ac:dyDescent="0.35">
      <c r="A786" t="s">
        <v>856</v>
      </c>
      <c r="B786" s="1">
        <v>45006</v>
      </c>
      <c r="C786" t="s">
        <v>24</v>
      </c>
      <c r="D786" t="s">
        <v>15</v>
      </c>
      <c r="E786" t="s">
        <v>92</v>
      </c>
      <c r="F786">
        <v>10</v>
      </c>
      <c r="G786">
        <v>1846</v>
      </c>
      <c r="H786">
        <v>18460</v>
      </c>
      <c r="I786">
        <v>6324</v>
      </c>
      <c r="J786" t="s">
        <v>17</v>
      </c>
    </row>
    <row r="787" spans="1:10" x14ac:dyDescent="0.35">
      <c r="A787" t="s">
        <v>857</v>
      </c>
      <c r="B787" s="1">
        <v>44958</v>
      </c>
      <c r="C787" t="s">
        <v>19</v>
      </c>
      <c r="D787" t="s">
        <v>15</v>
      </c>
      <c r="E787" t="s">
        <v>51</v>
      </c>
      <c r="F787">
        <v>1</v>
      </c>
      <c r="G787">
        <v>1899</v>
      </c>
      <c r="H787">
        <v>1899</v>
      </c>
      <c r="I787">
        <v>473</v>
      </c>
      <c r="J787" t="s">
        <v>22</v>
      </c>
    </row>
    <row r="788" spans="1:10" x14ac:dyDescent="0.35">
      <c r="A788" t="s">
        <v>858</v>
      </c>
      <c r="B788" s="1">
        <v>45161</v>
      </c>
      <c r="C788" t="s">
        <v>19</v>
      </c>
      <c r="D788" t="s">
        <v>40</v>
      </c>
      <c r="E788" t="s">
        <v>62</v>
      </c>
      <c r="F788">
        <v>1</v>
      </c>
      <c r="G788">
        <v>4541</v>
      </c>
      <c r="H788">
        <v>4541</v>
      </c>
      <c r="I788">
        <v>566</v>
      </c>
      <c r="J788" t="s">
        <v>13</v>
      </c>
    </row>
    <row r="789" spans="1:10" x14ac:dyDescent="0.35">
      <c r="A789" t="s">
        <v>859</v>
      </c>
      <c r="B789" s="1">
        <v>45105</v>
      </c>
      <c r="C789" t="s">
        <v>30</v>
      </c>
      <c r="D789" t="s">
        <v>11</v>
      </c>
      <c r="E789" t="s">
        <v>216</v>
      </c>
      <c r="F789">
        <v>8</v>
      </c>
      <c r="G789">
        <v>668</v>
      </c>
      <c r="H789">
        <v>5344</v>
      </c>
      <c r="I789">
        <v>714</v>
      </c>
      <c r="J789" t="s">
        <v>17</v>
      </c>
    </row>
    <row r="790" spans="1:10" x14ac:dyDescent="0.35">
      <c r="A790" t="s">
        <v>860</v>
      </c>
      <c r="B790" s="1">
        <v>45091</v>
      </c>
      <c r="C790" t="s">
        <v>30</v>
      </c>
      <c r="D790" t="s">
        <v>40</v>
      </c>
      <c r="E790" t="s">
        <v>168</v>
      </c>
      <c r="F790">
        <v>8</v>
      </c>
      <c r="G790">
        <v>3089</v>
      </c>
      <c r="H790">
        <v>24712</v>
      </c>
      <c r="I790">
        <v>3113</v>
      </c>
      <c r="J790" t="s">
        <v>22</v>
      </c>
    </row>
    <row r="791" spans="1:10" x14ac:dyDescent="0.35">
      <c r="A791" t="s">
        <v>861</v>
      </c>
      <c r="B791" s="1">
        <v>45086</v>
      </c>
      <c r="C791" t="s">
        <v>30</v>
      </c>
      <c r="D791" t="s">
        <v>11</v>
      </c>
      <c r="E791" t="s">
        <v>43</v>
      </c>
      <c r="F791">
        <v>10</v>
      </c>
      <c r="G791">
        <v>555</v>
      </c>
      <c r="H791">
        <v>5550</v>
      </c>
      <c r="I791">
        <v>1054</v>
      </c>
      <c r="J791" t="s">
        <v>17</v>
      </c>
    </row>
    <row r="792" spans="1:10" x14ac:dyDescent="0.35">
      <c r="A792" t="s">
        <v>862</v>
      </c>
      <c r="B792" s="1">
        <v>45072</v>
      </c>
      <c r="C792" t="s">
        <v>10</v>
      </c>
      <c r="D792" t="s">
        <v>25</v>
      </c>
      <c r="E792" t="s">
        <v>173</v>
      </c>
      <c r="F792">
        <v>7</v>
      </c>
      <c r="G792">
        <v>2482</v>
      </c>
      <c r="H792">
        <v>17374</v>
      </c>
      <c r="I792">
        <v>3800</v>
      </c>
      <c r="J792" t="s">
        <v>22</v>
      </c>
    </row>
    <row r="793" spans="1:10" x14ac:dyDescent="0.35">
      <c r="A793" t="s">
        <v>863</v>
      </c>
      <c r="B793" s="1">
        <v>45289</v>
      </c>
      <c r="C793" t="s">
        <v>19</v>
      </c>
      <c r="D793" t="s">
        <v>20</v>
      </c>
      <c r="E793" t="s">
        <v>43</v>
      </c>
      <c r="F793">
        <v>6</v>
      </c>
      <c r="G793">
        <v>1244</v>
      </c>
      <c r="H793">
        <v>7464</v>
      </c>
      <c r="I793">
        <v>1665</v>
      </c>
      <c r="J793" t="s">
        <v>22</v>
      </c>
    </row>
    <row r="794" spans="1:10" x14ac:dyDescent="0.35">
      <c r="A794" t="s">
        <v>864</v>
      </c>
      <c r="B794" s="1">
        <v>45257</v>
      </c>
      <c r="C794" t="s">
        <v>10</v>
      </c>
      <c r="D794" t="s">
        <v>20</v>
      </c>
      <c r="E794" t="s">
        <v>71</v>
      </c>
      <c r="F794">
        <v>3</v>
      </c>
      <c r="G794">
        <v>2281</v>
      </c>
      <c r="H794">
        <v>6843</v>
      </c>
      <c r="I794">
        <v>816</v>
      </c>
      <c r="J794" t="s">
        <v>32</v>
      </c>
    </row>
    <row r="795" spans="1:10" x14ac:dyDescent="0.35">
      <c r="A795" t="s">
        <v>865</v>
      </c>
      <c r="B795" s="1">
        <v>45283</v>
      </c>
      <c r="C795" t="s">
        <v>30</v>
      </c>
      <c r="D795" t="s">
        <v>40</v>
      </c>
      <c r="E795" t="s">
        <v>21</v>
      </c>
      <c r="F795">
        <v>8</v>
      </c>
      <c r="G795">
        <v>3959</v>
      </c>
      <c r="H795">
        <v>31672</v>
      </c>
      <c r="I795">
        <v>7991</v>
      </c>
      <c r="J795" t="s">
        <v>32</v>
      </c>
    </row>
    <row r="796" spans="1:10" x14ac:dyDescent="0.35">
      <c r="A796" t="s">
        <v>866</v>
      </c>
      <c r="B796" s="1">
        <v>45109</v>
      </c>
      <c r="C796" t="s">
        <v>10</v>
      </c>
      <c r="D796" t="s">
        <v>25</v>
      </c>
      <c r="E796" t="s">
        <v>58</v>
      </c>
      <c r="F796">
        <v>3</v>
      </c>
      <c r="G796">
        <v>2521</v>
      </c>
      <c r="H796">
        <v>7563</v>
      </c>
      <c r="I796">
        <v>1172</v>
      </c>
      <c r="J796" t="s">
        <v>32</v>
      </c>
    </row>
    <row r="797" spans="1:10" x14ac:dyDescent="0.35">
      <c r="A797" t="s">
        <v>867</v>
      </c>
      <c r="B797" s="1">
        <v>45051</v>
      </c>
      <c r="C797" t="s">
        <v>10</v>
      </c>
      <c r="D797" t="s">
        <v>11</v>
      </c>
      <c r="E797" t="s">
        <v>46</v>
      </c>
      <c r="F797">
        <v>1</v>
      </c>
      <c r="G797">
        <v>1822</v>
      </c>
      <c r="H797">
        <v>1822</v>
      </c>
      <c r="I797">
        <v>702</v>
      </c>
      <c r="J797" t="s">
        <v>32</v>
      </c>
    </row>
    <row r="798" spans="1:10" x14ac:dyDescent="0.35">
      <c r="A798" t="s">
        <v>868</v>
      </c>
      <c r="B798" s="1">
        <v>45010</v>
      </c>
      <c r="C798" t="s">
        <v>30</v>
      </c>
      <c r="D798" t="s">
        <v>20</v>
      </c>
      <c r="E798" t="s">
        <v>78</v>
      </c>
      <c r="F798">
        <v>9</v>
      </c>
      <c r="G798">
        <v>1340</v>
      </c>
      <c r="H798">
        <v>12060</v>
      </c>
      <c r="I798">
        <v>3749</v>
      </c>
      <c r="J798" t="s">
        <v>32</v>
      </c>
    </row>
    <row r="799" spans="1:10" x14ac:dyDescent="0.35">
      <c r="A799" t="s">
        <v>869</v>
      </c>
      <c r="B799" s="1">
        <v>45179</v>
      </c>
      <c r="C799" t="s">
        <v>19</v>
      </c>
      <c r="D799" t="s">
        <v>15</v>
      </c>
      <c r="E799" t="s">
        <v>68</v>
      </c>
      <c r="F799">
        <v>6</v>
      </c>
      <c r="G799">
        <v>2943</v>
      </c>
      <c r="H799">
        <v>17658</v>
      </c>
      <c r="I799">
        <v>1778</v>
      </c>
      <c r="J799" t="s">
        <v>13</v>
      </c>
    </row>
    <row r="800" spans="1:10" x14ac:dyDescent="0.35">
      <c r="A800" t="s">
        <v>870</v>
      </c>
      <c r="B800" s="1">
        <v>44966</v>
      </c>
      <c r="C800" t="s">
        <v>24</v>
      </c>
      <c r="D800" t="s">
        <v>11</v>
      </c>
      <c r="E800" t="s">
        <v>211</v>
      </c>
      <c r="F800">
        <v>2</v>
      </c>
      <c r="G800">
        <v>1895</v>
      </c>
      <c r="H800">
        <v>3790</v>
      </c>
      <c r="I800">
        <v>1278</v>
      </c>
      <c r="J800" t="s">
        <v>13</v>
      </c>
    </row>
    <row r="801" spans="1:10" x14ac:dyDescent="0.35">
      <c r="A801" t="s">
        <v>871</v>
      </c>
      <c r="B801" s="1">
        <v>45040</v>
      </c>
      <c r="C801" t="s">
        <v>19</v>
      </c>
      <c r="D801" t="s">
        <v>20</v>
      </c>
      <c r="E801" t="s">
        <v>31</v>
      </c>
      <c r="F801">
        <v>4</v>
      </c>
      <c r="G801">
        <v>3656</v>
      </c>
      <c r="H801">
        <v>14624</v>
      </c>
      <c r="I801">
        <v>2406</v>
      </c>
      <c r="J801" t="s">
        <v>22</v>
      </c>
    </row>
    <row r="802" spans="1:10" x14ac:dyDescent="0.35">
      <c r="A802" t="s">
        <v>872</v>
      </c>
      <c r="B802" s="1">
        <v>45010</v>
      </c>
      <c r="C802" t="s">
        <v>10</v>
      </c>
      <c r="D802" t="s">
        <v>40</v>
      </c>
      <c r="E802" t="s">
        <v>51</v>
      </c>
      <c r="F802">
        <v>9</v>
      </c>
      <c r="G802">
        <v>1861</v>
      </c>
      <c r="H802">
        <v>16749</v>
      </c>
      <c r="I802">
        <v>2280</v>
      </c>
      <c r="J802" t="s">
        <v>32</v>
      </c>
    </row>
    <row r="803" spans="1:10" x14ac:dyDescent="0.35">
      <c r="A803" t="s">
        <v>873</v>
      </c>
      <c r="B803" s="1">
        <v>45243</v>
      </c>
      <c r="C803" t="s">
        <v>24</v>
      </c>
      <c r="D803" t="s">
        <v>40</v>
      </c>
      <c r="E803" t="s">
        <v>46</v>
      </c>
      <c r="F803">
        <v>2</v>
      </c>
      <c r="G803">
        <v>2548</v>
      </c>
      <c r="H803">
        <v>5096</v>
      </c>
      <c r="I803">
        <v>1343</v>
      </c>
      <c r="J803" t="s">
        <v>22</v>
      </c>
    </row>
    <row r="804" spans="1:10" x14ac:dyDescent="0.35">
      <c r="A804" t="s">
        <v>874</v>
      </c>
      <c r="B804" s="1">
        <v>45117</v>
      </c>
      <c r="C804" t="s">
        <v>30</v>
      </c>
      <c r="D804" t="s">
        <v>11</v>
      </c>
      <c r="E804" t="s">
        <v>179</v>
      </c>
      <c r="F804">
        <v>7</v>
      </c>
      <c r="G804">
        <v>4599</v>
      </c>
      <c r="H804">
        <v>32193</v>
      </c>
      <c r="I804">
        <v>8442</v>
      </c>
      <c r="J804" t="s">
        <v>17</v>
      </c>
    </row>
    <row r="805" spans="1:10" x14ac:dyDescent="0.35">
      <c r="A805" t="s">
        <v>875</v>
      </c>
      <c r="B805" s="1">
        <v>44981</v>
      </c>
      <c r="C805" t="s">
        <v>24</v>
      </c>
      <c r="D805" t="s">
        <v>15</v>
      </c>
      <c r="E805" t="s">
        <v>111</v>
      </c>
      <c r="F805">
        <v>2</v>
      </c>
      <c r="G805">
        <v>1096</v>
      </c>
      <c r="H805">
        <v>2192</v>
      </c>
      <c r="I805">
        <v>401</v>
      </c>
      <c r="J805" t="s">
        <v>17</v>
      </c>
    </row>
    <row r="806" spans="1:10" x14ac:dyDescent="0.35">
      <c r="A806" t="s">
        <v>876</v>
      </c>
      <c r="B806" s="1">
        <v>45142</v>
      </c>
      <c r="C806" t="s">
        <v>19</v>
      </c>
      <c r="D806" t="s">
        <v>11</v>
      </c>
      <c r="E806" t="s">
        <v>151</v>
      </c>
      <c r="F806">
        <v>5</v>
      </c>
      <c r="G806">
        <v>1784</v>
      </c>
      <c r="H806">
        <v>8920</v>
      </c>
      <c r="I806">
        <v>2818</v>
      </c>
      <c r="J806" t="s">
        <v>32</v>
      </c>
    </row>
    <row r="807" spans="1:10" x14ac:dyDescent="0.35">
      <c r="A807" t="s">
        <v>877</v>
      </c>
      <c r="B807" s="1">
        <v>45150</v>
      </c>
      <c r="C807" t="s">
        <v>24</v>
      </c>
      <c r="D807" t="s">
        <v>11</v>
      </c>
      <c r="E807" t="s">
        <v>68</v>
      </c>
      <c r="F807">
        <v>5</v>
      </c>
      <c r="G807">
        <v>791</v>
      </c>
      <c r="H807">
        <v>3955</v>
      </c>
      <c r="I807">
        <v>818</v>
      </c>
      <c r="J807" t="s">
        <v>17</v>
      </c>
    </row>
    <row r="808" spans="1:10" x14ac:dyDescent="0.35">
      <c r="A808" t="s">
        <v>878</v>
      </c>
      <c r="B808" s="1">
        <v>45183</v>
      </c>
      <c r="C808" t="s">
        <v>19</v>
      </c>
      <c r="D808" t="s">
        <v>20</v>
      </c>
      <c r="E808" t="s">
        <v>80</v>
      </c>
      <c r="F808">
        <v>3</v>
      </c>
      <c r="G808">
        <v>4873</v>
      </c>
      <c r="H808">
        <v>14619</v>
      </c>
      <c r="I808">
        <v>4502</v>
      </c>
      <c r="J808" t="s">
        <v>32</v>
      </c>
    </row>
    <row r="809" spans="1:10" x14ac:dyDescent="0.35">
      <c r="A809" t="s">
        <v>879</v>
      </c>
      <c r="B809" s="1">
        <v>45279</v>
      </c>
      <c r="C809" t="s">
        <v>19</v>
      </c>
      <c r="D809" t="s">
        <v>15</v>
      </c>
      <c r="E809" t="s">
        <v>60</v>
      </c>
      <c r="F809">
        <v>7</v>
      </c>
      <c r="G809">
        <v>3502</v>
      </c>
      <c r="H809">
        <v>24514</v>
      </c>
      <c r="I809">
        <v>4744</v>
      </c>
      <c r="J809" t="s">
        <v>32</v>
      </c>
    </row>
    <row r="810" spans="1:10" x14ac:dyDescent="0.35">
      <c r="A810" t="s">
        <v>880</v>
      </c>
      <c r="B810" s="1">
        <v>45008</v>
      </c>
      <c r="C810" t="s">
        <v>24</v>
      </c>
      <c r="D810" t="s">
        <v>25</v>
      </c>
      <c r="E810" t="s">
        <v>173</v>
      </c>
      <c r="F810">
        <v>8</v>
      </c>
      <c r="G810">
        <v>2365</v>
      </c>
      <c r="H810">
        <v>18920</v>
      </c>
      <c r="I810">
        <v>5261</v>
      </c>
      <c r="J810" t="s">
        <v>32</v>
      </c>
    </row>
    <row r="811" spans="1:10" x14ac:dyDescent="0.35">
      <c r="A811" t="s">
        <v>881</v>
      </c>
      <c r="B811" s="1">
        <v>45169</v>
      </c>
      <c r="C811" t="s">
        <v>24</v>
      </c>
      <c r="D811" t="s">
        <v>20</v>
      </c>
      <c r="E811" t="s">
        <v>365</v>
      </c>
      <c r="F811">
        <v>3</v>
      </c>
      <c r="G811">
        <v>1644</v>
      </c>
      <c r="H811">
        <v>4932</v>
      </c>
      <c r="I811">
        <v>1354</v>
      </c>
      <c r="J811" t="s">
        <v>22</v>
      </c>
    </row>
    <row r="812" spans="1:10" x14ac:dyDescent="0.35">
      <c r="A812" t="s">
        <v>882</v>
      </c>
      <c r="B812" s="1">
        <v>45061</v>
      </c>
      <c r="C812" t="s">
        <v>30</v>
      </c>
      <c r="D812" t="s">
        <v>15</v>
      </c>
      <c r="E812" t="s">
        <v>168</v>
      </c>
      <c r="F812">
        <v>7</v>
      </c>
      <c r="G812">
        <v>823</v>
      </c>
      <c r="H812">
        <v>5761</v>
      </c>
      <c r="I812">
        <v>1731</v>
      </c>
      <c r="J812" t="s">
        <v>17</v>
      </c>
    </row>
    <row r="813" spans="1:10" x14ac:dyDescent="0.35">
      <c r="A813" t="s">
        <v>883</v>
      </c>
      <c r="B813" s="1">
        <v>45008</v>
      </c>
      <c r="C813" t="s">
        <v>10</v>
      </c>
      <c r="D813" t="s">
        <v>20</v>
      </c>
      <c r="E813" t="s">
        <v>51</v>
      </c>
      <c r="F813">
        <v>7</v>
      </c>
      <c r="G813">
        <v>4386</v>
      </c>
      <c r="H813">
        <v>30702</v>
      </c>
      <c r="I813">
        <v>7578</v>
      </c>
      <c r="J813" t="s">
        <v>32</v>
      </c>
    </row>
    <row r="814" spans="1:10" x14ac:dyDescent="0.35">
      <c r="A814" t="s">
        <v>884</v>
      </c>
      <c r="B814" s="1">
        <v>44930</v>
      </c>
      <c r="C814" t="s">
        <v>19</v>
      </c>
      <c r="D814" t="s">
        <v>11</v>
      </c>
      <c r="E814" t="s">
        <v>41</v>
      </c>
      <c r="F814">
        <v>10</v>
      </c>
      <c r="G814">
        <v>1526</v>
      </c>
      <c r="H814">
        <v>15260</v>
      </c>
      <c r="I814">
        <v>4007</v>
      </c>
      <c r="J814" t="s">
        <v>22</v>
      </c>
    </row>
    <row r="815" spans="1:10" x14ac:dyDescent="0.35">
      <c r="A815" t="s">
        <v>885</v>
      </c>
      <c r="B815" s="1">
        <v>44963</v>
      </c>
      <c r="C815" t="s">
        <v>24</v>
      </c>
      <c r="D815" t="s">
        <v>11</v>
      </c>
      <c r="E815" t="s">
        <v>149</v>
      </c>
      <c r="F815">
        <v>3</v>
      </c>
      <c r="G815">
        <v>1038</v>
      </c>
      <c r="H815">
        <v>3114</v>
      </c>
      <c r="I815">
        <v>578</v>
      </c>
      <c r="J815" t="s">
        <v>17</v>
      </c>
    </row>
    <row r="816" spans="1:10" x14ac:dyDescent="0.35">
      <c r="A816" t="s">
        <v>886</v>
      </c>
      <c r="B816" s="1">
        <v>45153</v>
      </c>
      <c r="C816" t="s">
        <v>24</v>
      </c>
      <c r="D816" t="s">
        <v>15</v>
      </c>
      <c r="E816" t="s">
        <v>302</v>
      </c>
      <c r="F816">
        <v>3</v>
      </c>
      <c r="G816">
        <v>1472</v>
      </c>
      <c r="H816">
        <v>4416</v>
      </c>
      <c r="I816">
        <v>1017</v>
      </c>
      <c r="J816" t="s">
        <v>32</v>
      </c>
    </row>
    <row r="817" spans="1:10" x14ac:dyDescent="0.35">
      <c r="A817" t="s">
        <v>887</v>
      </c>
      <c r="B817" s="1">
        <v>45266</v>
      </c>
      <c r="C817" t="s">
        <v>19</v>
      </c>
      <c r="D817" t="s">
        <v>11</v>
      </c>
      <c r="E817" t="s">
        <v>26</v>
      </c>
      <c r="F817">
        <v>2</v>
      </c>
      <c r="G817">
        <v>1528</v>
      </c>
      <c r="H817">
        <v>3056</v>
      </c>
      <c r="I817">
        <v>525</v>
      </c>
      <c r="J817" t="s">
        <v>13</v>
      </c>
    </row>
    <row r="818" spans="1:10" x14ac:dyDescent="0.35">
      <c r="A818" t="s">
        <v>888</v>
      </c>
      <c r="B818" s="1">
        <v>45190</v>
      </c>
      <c r="C818" t="s">
        <v>10</v>
      </c>
      <c r="D818" t="s">
        <v>15</v>
      </c>
      <c r="E818" t="s">
        <v>130</v>
      </c>
      <c r="F818">
        <v>5</v>
      </c>
      <c r="G818">
        <v>2538</v>
      </c>
      <c r="H818">
        <v>12690</v>
      </c>
      <c r="I818">
        <v>4140</v>
      </c>
      <c r="J818" t="s">
        <v>13</v>
      </c>
    </row>
    <row r="819" spans="1:10" x14ac:dyDescent="0.35">
      <c r="A819" t="s">
        <v>889</v>
      </c>
      <c r="B819" s="1">
        <v>45061</v>
      </c>
      <c r="C819" t="s">
        <v>10</v>
      </c>
      <c r="D819" t="s">
        <v>40</v>
      </c>
      <c r="E819" t="s">
        <v>87</v>
      </c>
      <c r="F819">
        <v>5</v>
      </c>
      <c r="G819">
        <v>4517</v>
      </c>
      <c r="H819">
        <v>22585</v>
      </c>
      <c r="I819">
        <v>6260</v>
      </c>
      <c r="J819" t="s">
        <v>13</v>
      </c>
    </row>
    <row r="820" spans="1:10" x14ac:dyDescent="0.35">
      <c r="A820" t="s">
        <v>890</v>
      </c>
      <c r="B820" s="1">
        <v>44947</v>
      </c>
      <c r="C820" t="s">
        <v>19</v>
      </c>
      <c r="D820" t="s">
        <v>15</v>
      </c>
      <c r="E820" t="s">
        <v>55</v>
      </c>
      <c r="F820">
        <v>9</v>
      </c>
      <c r="G820">
        <v>518</v>
      </c>
      <c r="H820">
        <v>4662</v>
      </c>
      <c r="I820">
        <v>1120</v>
      </c>
      <c r="J820" t="s">
        <v>17</v>
      </c>
    </row>
    <row r="821" spans="1:10" x14ac:dyDescent="0.35">
      <c r="A821" t="s">
        <v>891</v>
      </c>
      <c r="B821" s="1">
        <v>45060</v>
      </c>
      <c r="C821" t="s">
        <v>24</v>
      </c>
      <c r="D821" t="s">
        <v>40</v>
      </c>
      <c r="E821" t="s">
        <v>151</v>
      </c>
      <c r="F821">
        <v>9</v>
      </c>
      <c r="G821">
        <v>3869</v>
      </c>
      <c r="H821">
        <v>34821</v>
      </c>
      <c r="I821">
        <v>11192</v>
      </c>
      <c r="J821" t="s">
        <v>13</v>
      </c>
    </row>
    <row r="822" spans="1:10" x14ac:dyDescent="0.35">
      <c r="A822" t="s">
        <v>892</v>
      </c>
      <c r="B822" s="1">
        <v>44945</v>
      </c>
      <c r="C822" t="s">
        <v>19</v>
      </c>
      <c r="D822" t="s">
        <v>20</v>
      </c>
      <c r="E822" t="s">
        <v>12</v>
      </c>
      <c r="F822">
        <v>10</v>
      </c>
      <c r="G822">
        <v>2921</v>
      </c>
      <c r="H822">
        <v>29210</v>
      </c>
      <c r="I822">
        <v>10675</v>
      </c>
      <c r="J822" t="s">
        <v>22</v>
      </c>
    </row>
    <row r="823" spans="1:10" x14ac:dyDescent="0.35">
      <c r="A823" t="s">
        <v>893</v>
      </c>
      <c r="B823" s="1">
        <v>45256</v>
      </c>
      <c r="C823" t="s">
        <v>30</v>
      </c>
      <c r="D823" t="s">
        <v>20</v>
      </c>
      <c r="E823" t="s">
        <v>113</v>
      </c>
      <c r="F823">
        <v>5</v>
      </c>
      <c r="G823">
        <v>3593</v>
      </c>
      <c r="H823">
        <v>17965</v>
      </c>
      <c r="I823">
        <v>2429</v>
      </c>
      <c r="J823" t="s">
        <v>32</v>
      </c>
    </row>
    <row r="824" spans="1:10" x14ac:dyDescent="0.35">
      <c r="A824" t="s">
        <v>894</v>
      </c>
      <c r="B824" s="1">
        <v>44963</v>
      </c>
      <c r="C824" t="s">
        <v>19</v>
      </c>
      <c r="D824" t="s">
        <v>40</v>
      </c>
      <c r="E824" t="s">
        <v>64</v>
      </c>
      <c r="F824">
        <v>10</v>
      </c>
      <c r="G824">
        <v>1518</v>
      </c>
      <c r="H824">
        <v>15180</v>
      </c>
      <c r="I824">
        <v>3741</v>
      </c>
      <c r="J824" t="s">
        <v>32</v>
      </c>
    </row>
    <row r="825" spans="1:10" x14ac:dyDescent="0.35">
      <c r="A825" t="s">
        <v>895</v>
      </c>
      <c r="B825" s="1">
        <v>45269</v>
      </c>
      <c r="C825" t="s">
        <v>24</v>
      </c>
      <c r="D825" t="s">
        <v>20</v>
      </c>
      <c r="E825" t="s">
        <v>118</v>
      </c>
      <c r="F825">
        <v>8</v>
      </c>
      <c r="G825">
        <v>1968</v>
      </c>
      <c r="H825">
        <v>15744</v>
      </c>
      <c r="I825">
        <v>4380</v>
      </c>
      <c r="J825" t="s">
        <v>17</v>
      </c>
    </row>
    <row r="826" spans="1:10" x14ac:dyDescent="0.35">
      <c r="A826" t="s">
        <v>896</v>
      </c>
      <c r="B826" s="1">
        <v>45067</v>
      </c>
      <c r="C826" t="s">
        <v>10</v>
      </c>
      <c r="D826" t="s">
        <v>25</v>
      </c>
      <c r="E826" t="s">
        <v>38</v>
      </c>
      <c r="F826">
        <v>1</v>
      </c>
      <c r="G826">
        <v>3916</v>
      </c>
      <c r="H826">
        <v>3916</v>
      </c>
      <c r="I826">
        <v>1269</v>
      </c>
      <c r="J826" t="s">
        <v>17</v>
      </c>
    </row>
    <row r="827" spans="1:10" x14ac:dyDescent="0.35">
      <c r="A827" t="s">
        <v>897</v>
      </c>
      <c r="B827" s="1">
        <v>45014</v>
      </c>
      <c r="C827" t="s">
        <v>10</v>
      </c>
      <c r="D827" t="s">
        <v>11</v>
      </c>
      <c r="E827" t="s">
        <v>48</v>
      </c>
      <c r="F827">
        <v>8</v>
      </c>
      <c r="G827">
        <v>4785</v>
      </c>
      <c r="H827">
        <v>38280</v>
      </c>
      <c r="I827">
        <v>4667</v>
      </c>
      <c r="J827" t="s">
        <v>17</v>
      </c>
    </row>
    <row r="828" spans="1:10" x14ac:dyDescent="0.35">
      <c r="A828" t="s">
        <v>898</v>
      </c>
      <c r="B828" s="1">
        <v>45076</v>
      </c>
      <c r="C828" t="s">
        <v>19</v>
      </c>
      <c r="D828" t="s">
        <v>15</v>
      </c>
      <c r="E828" t="s">
        <v>46</v>
      </c>
      <c r="F828">
        <v>7</v>
      </c>
      <c r="G828">
        <v>545</v>
      </c>
      <c r="H828">
        <v>3815</v>
      </c>
      <c r="I828">
        <v>512</v>
      </c>
      <c r="J828" t="s">
        <v>32</v>
      </c>
    </row>
    <row r="829" spans="1:10" x14ac:dyDescent="0.35">
      <c r="A829" t="s">
        <v>899</v>
      </c>
      <c r="B829" s="1">
        <v>45182</v>
      </c>
      <c r="C829" t="s">
        <v>24</v>
      </c>
      <c r="D829" t="s">
        <v>25</v>
      </c>
      <c r="E829" t="s">
        <v>179</v>
      </c>
      <c r="F829">
        <v>3</v>
      </c>
      <c r="G829">
        <v>4739</v>
      </c>
      <c r="H829">
        <v>14217</v>
      </c>
      <c r="I829">
        <v>2848</v>
      </c>
      <c r="J829" t="s">
        <v>22</v>
      </c>
    </row>
    <row r="830" spans="1:10" x14ac:dyDescent="0.35">
      <c r="A830" t="s">
        <v>900</v>
      </c>
      <c r="B830" s="1">
        <v>45257</v>
      </c>
      <c r="C830" t="s">
        <v>30</v>
      </c>
      <c r="D830" t="s">
        <v>20</v>
      </c>
      <c r="E830" t="s">
        <v>211</v>
      </c>
      <c r="F830">
        <v>10</v>
      </c>
      <c r="G830">
        <v>3416</v>
      </c>
      <c r="H830">
        <v>34160</v>
      </c>
      <c r="I830">
        <v>4465</v>
      </c>
      <c r="J830" t="s">
        <v>13</v>
      </c>
    </row>
    <row r="831" spans="1:10" x14ac:dyDescent="0.35">
      <c r="A831" t="s">
        <v>901</v>
      </c>
      <c r="B831" s="1">
        <v>45132</v>
      </c>
      <c r="C831" t="s">
        <v>10</v>
      </c>
      <c r="D831" t="s">
        <v>25</v>
      </c>
      <c r="E831" t="s">
        <v>12</v>
      </c>
      <c r="F831">
        <v>6</v>
      </c>
      <c r="G831">
        <v>4939</v>
      </c>
      <c r="H831">
        <v>29634</v>
      </c>
      <c r="I831">
        <v>4768</v>
      </c>
      <c r="J831" t="s">
        <v>13</v>
      </c>
    </row>
    <row r="832" spans="1:10" x14ac:dyDescent="0.35">
      <c r="A832" t="s">
        <v>902</v>
      </c>
      <c r="B832" s="1">
        <v>45128</v>
      </c>
      <c r="C832" t="s">
        <v>19</v>
      </c>
      <c r="D832" t="s">
        <v>25</v>
      </c>
      <c r="E832" t="s">
        <v>64</v>
      </c>
      <c r="F832">
        <v>6</v>
      </c>
      <c r="G832">
        <v>3163</v>
      </c>
      <c r="H832">
        <v>18978</v>
      </c>
      <c r="I832">
        <v>5713</v>
      </c>
      <c r="J832" t="s">
        <v>17</v>
      </c>
    </row>
    <row r="833" spans="1:10" x14ac:dyDescent="0.35">
      <c r="A833" t="s">
        <v>903</v>
      </c>
      <c r="B833" s="1">
        <v>44961</v>
      </c>
      <c r="C833" t="s">
        <v>10</v>
      </c>
      <c r="D833" t="s">
        <v>20</v>
      </c>
      <c r="E833" t="s">
        <v>365</v>
      </c>
      <c r="F833">
        <v>3</v>
      </c>
      <c r="G833">
        <v>4794</v>
      </c>
      <c r="H833">
        <v>14382</v>
      </c>
      <c r="I833">
        <v>4583</v>
      </c>
      <c r="J833" t="s">
        <v>22</v>
      </c>
    </row>
    <row r="834" spans="1:10" x14ac:dyDescent="0.35">
      <c r="A834" t="s">
        <v>904</v>
      </c>
      <c r="B834" s="1">
        <v>45182</v>
      </c>
      <c r="C834" t="s">
        <v>24</v>
      </c>
      <c r="D834" t="s">
        <v>15</v>
      </c>
      <c r="E834" t="s">
        <v>58</v>
      </c>
      <c r="F834">
        <v>1</v>
      </c>
      <c r="G834">
        <v>3249</v>
      </c>
      <c r="H834">
        <v>3249</v>
      </c>
      <c r="I834">
        <v>829</v>
      </c>
      <c r="J834" t="s">
        <v>32</v>
      </c>
    </row>
    <row r="835" spans="1:10" x14ac:dyDescent="0.35">
      <c r="A835" t="s">
        <v>905</v>
      </c>
      <c r="B835" s="1">
        <v>45219</v>
      </c>
      <c r="C835" t="s">
        <v>19</v>
      </c>
      <c r="D835" t="s">
        <v>15</v>
      </c>
      <c r="E835" t="s">
        <v>41</v>
      </c>
      <c r="F835">
        <v>2</v>
      </c>
      <c r="G835">
        <v>798</v>
      </c>
      <c r="H835">
        <v>1596</v>
      </c>
      <c r="I835">
        <v>466</v>
      </c>
      <c r="J835" t="s">
        <v>22</v>
      </c>
    </row>
    <row r="836" spans="1:10" x14ac:dyDescent="0.35">
      <c r="A836" t="s">
        <v>906</v>
      </c>
      <c r="B836" s="1">
        <v>45276</v>
      </c>
      <c r="C836" t="s">
        <v>19</v>
      </c>
      <c r="D836" t="s">
        <v>20</v>
      </c>
      <c r="E836" t="s">
        <v>302</v>
      </c>
      <c r="F836">
        <v>2</v>
      </c>
      <c r="G836">
        <v>3561</v>
      </c>
      <c r="H836">
        <v>7122</v>
      </c>
      <c r="I836">
        <v>2427</v>
      </c>
      <c r="J836" t="s">
        <v>13</v>
      </c>
    </row>
    <row r="837" spans="1:10" x14ac:dyDescent="0.35">
      <c r="A837" t="s">
        <v>907</v>
      </c>
      <c r="B837" s="1">
        <v>45081</v>
      </c>
      <c r="C837" t="s">
        <v>24</v>
      </c>
      <c r="D837" t="s">
        <v>15</v>
      </c>
      <c r="E837" t="s">
        <v>21</v>
      </c>
      <c r="F837">
        <v>5</v>
      </c>
      <c r="G837">
        <v>4426</v>
      </c>
      <c r="H837">
        <v>22130</v>
      </c>
      <c r="I837">
        <v>6328</v>
      </c>
      <c r="J837" t="s">
        <v>32</v>
      </c>
    </row>
    <row r="838" spans="1:10" x14ac:dyDescent="0.35">
      <c r="A838" t="s">
        <v>908</v>
      </c>
      <c r="B838" s="1">
        <v>44997</v>
      </c>
      <c r="C838" t="s">
        <v>24</v>
      </c>
      <c r="D838" t="s">
        <v>20</v>
      </c>
      <c r="E838" t="s">
        <v>87</v>
      </c>
      <c r="F838">
        <v>1</v>
      </c>
      <c r="G838">
        <v>2128</v>
      </c>
      <c r="H838">
        <v>2128</v>
      </c>
      <c r="I838">
        <v>304</v>
      </c>
      <c r="J838" t="s">
        <v>32</v>
      </c>
    </row>
    <row r="839" spans="1:10" x14ac:dyDescent="0.35">
      <c r="A839" t="s">
        <v>909</v>
      </c>
      <c r="B839" s="1">
        <v>44944</v>
      </c>
      <c r="C839" t="s">
        <v>19</v>
      </c>
      <c r="D839" t="s">
        <v>40</v>
      </c>
      <c r="E839" t="s">
        <v>26</v>
      </c>
      <c r="F839">
        <v>2</v>
      </c>
      <c r="G839">
        <v>4820</v>
      </c>
      <c r="H839">
        <v>9640</v>
      </c>
      <c r="I839">
        <v>2969</v>
      </c>
      <c r="J839" t="s">
        <v>13</v>
      </c>
    </row>
    <row r="840" spans="1:10" x14ac:dyDescent="0.35">
      <c r="A840" t="s">
        <v>910</v>
      </c>
      <c r="B840" s="1">
        <v>45000</v>
      </c>
      <c r="C840" t="s">
        <v>24</v>
      </c>
      <c r="D840" t="s">
        <v>40</v>
      </c>
      <c r="E840" t="s">
        <v>55</v>
      </c>
      <c r="F840">
        <v>7</v>
      </c>
      <c r="G840">
        <v>1413</v>
      </c>
      <c r="H840">
        <v>9891</v>
      </c>
      <c r="I840">
        <v>2549</v>
      </c>
      <c r="J840" t="s">
        <v>32</v>
      </c>
    </row>
    <row r="841" spans="1:10" x14ac:dyDescent="0.35">
      <c r="A841" t="s">
        <v>911</v>
      </c>
      <c r="B841" s="1">
        <v>45064</v>
      </c>
      <c r="C841" t="s">
        <v>10</v>
      </c>
      <c r="D841" t="s">
        <v>20</v>
      </c>
      <c r="E841" t="s">
        <v>62</v>
      </c>
      <c r="F841">
        <v>7</v>
      </c>
      <c r="G841">
        <v>1669</v>
      </c>
      <c r="H841">
        <v>11683</v>
      </c>
      <c r="I841">
        <v>1767</v>
      </c>
      <c r="J841" t="s">
        <v>22</v>
      </c>
    </row>
    <row r="842" spans="1:10" x14ac:dyDescent="0.35">
      <c r="A842" t="s">
        <v>912</v>
      </c>
      <c r="B842" s="1">
        <v>45175</v>
      </c>
      <c r="C842" t="s">
        <v>24</v>
      </c>
      <c r="D842" t="s">
        <v>15</v>
      </c>
      <c r="E842" t="s">
        <v>179</v>
      </c>
      <c r="F842">
        <v>9</v>
      </c>
      <c r="G842">
        <v>2557</v>
      </c>
      <c r="H842">
        <v>23013</v>
      </c>
      <c r="I842">
        <v>6509</v>
      </c>
      <c r="J842" t="s">
        <v>22</v>
      </c>
    </row>
    <row r="843" spans="1:10" x14ac:dyDescent="0.35">
      <c r="A843" t="s">
        <v>913</v>
      </c>
      <c r="B843" s="1">
        <v>45200</v>
      </c>
      <c r="C843" t="s">
        <v>19</v>
      </c>
      <c r="D843" t="s">
        <v>40</v>
      </c>
      <c r="E843" t="s">
        <v>60</v>
      </c>
      <c r="F843">
        <v>8</v>
      </c>
      <c r="G843">
        <v>3096</v>
      </c>
      <c r="H843">
        <v>24768</v>
      </c>
      <c r="I843">
        <v>9465</v>
      </c>
      <c r="J843" t="s">
        <v>17</v>
      </c>
    </row>
    <row r="844" spans="1:10" x14ac:dyDescent="0.35">
      <c r="A844" t="s">
        <v>914</v>
      </c>
      <c r="B844" s="1">
        <v>45292</v>
      </c>
      <c r="C844" t="s">
        <v>30</v>
      </c>
      <c r="D844" t="s">
        <v>40</v>
      </c>
      <c r="E844" t="s">
        <v>92</v>
      </c>
      <c r="F844">
        <v>10</v>
      </c>
      <c r="G844">
        <v>4454</v>
      </c>
      <c r="H844">
        <v>44540</v>
      </c>
      <c r="I844">
        <v>14251</v>
      </c>
      <c r="J844" t="s">
        <v>22</v>
      </c>
    </row>
    <row r="845" spans="1:10" x14ac:dyDescent="0.35">
      <c r="A845" t="s">
        <v>915</v>
      </c>
      <c r="B845" s="1">
        <v>45151</v>
      </c>
      <c r="C845" t="s">
        <v>24</v>
      </c>
      <c r="D845" t="s">
        <v>11</v>
      </c>
      <c r="E845" t="s">
        <v>211</v>
      </c>
      <c r="F845">
        <v>3</v>
      </c>
      <c r="G845">
        <v>4026</v>
      </c>
      <c r="H845">
        <v>12078</v>
      </c>
      <c r="I845">
        <v>2266</v>
      </c>
      <c r="J845" t="s">
        <v>32</v>
      </c>
    </row>
    <row r="846" spans="1:10" x14ac:dyDescent="0.35">
      <c r="A846" t="s">
        <v>916</v>
      </c>
      <c r="B846" s="1">
        <v>45145</v>
      </c>
      <c r="C846" t="s">
        <v>30</v>
      </c>
      <c r="D846" t="s">
        <v>25</v>
      </c>
      <c r="E846" t="s">
        <v>78</v>
      </c>
      <c r="F846">
        <v>6</v>
      </c>
      <c r="G846">
        <v>710</v>
      </c>
      <c r="H846">
        <v>4260</v>
      </c>
      <c r="I846">
        <v>1526</v>
      </c>
      <c r="J846" t="s">
        <v>13</v>
      </c>
    </row>
    <row r="847" spans="1:10" x14ac:dyDescent="0.35">
      <c r="A847" t="s">
        <v>917</v>
      </c>
      <c r="B847" s="1">
        <v>45175</v>
      </c>
      <c r="C847" t="s">
        <v>10</v>
      </c>
      <c r="D847" t="s">
        <v>20</v>
      </c>
      <c r="E847" t="s">
        <v>123</v>
      </c>
      <c r="F847">
        <v>10</v>
      </c>
      <c r="G847">
        <v>801</v>
      </c>
      <c r="H847">
        <v>8010</v>
      </c>
      <c r="I847">
        <v>3014</v>
      </c>
      <c r="J847" t="s">
        <v>17</v>
      </c>
    </row>
    <row r="848" spans="1:10" x14ac:dyDescent="0.35">
      <c r="A848" t="s">
        <v>918</v>
      </c>
      <c r="B848" s="1">
        <v>45239</v>
      </c>
      <c r="C848" t="s">
        <v>30</v>
      </c>
      <c r="D848" t="s">
        <v>20</v>
      </c>
      <c r="E848" t="s">
        <v>48</v>
      </c>
      <c r="F848">
        <v>5</v>
      </c>
      <c r="G848">
        <v>676</v>
      </c>
      <c r="H848">
        <v>3380</v>
      </c>
      <c r="I848">
        <v>675</v>
      </c>
      <c r="J848" t="s">
        <v>32</v>
      </c>
    </row>
    <row r="849" spans="1:10" x14ac:dyDescent="0.35">
      <c r="A849" t="s">
        <v>919</v>
      </c>
      <c r="B849" s="1">
        <v>45096</v>
      </c>
      <c r="C849" t="s">
        <v>24</v>
      </c>
      <c r="D849" t="s">
        <v>15</v>
      </c>
      <c r="E849" t="s">
        <v>26</v>
      </c>
      <c r="F849">
        <v>6</v>
      </c>
      <c r="G849">
        <v>892</v>
      </c>
      <c r="H849">
        <v>5352</v>
      </c>
      <c r="I849">
        <v>1961</v>
      </c>
      <c r="J849" t="s">
        <v>22</v>
      </c>
    </row>
    <row r="850" spans="1:10" x14ac:dyDescent="0.35">
      <c r="A850" t="s">
        <v>920</v>
      </c>
      <c r="B850" s="1">
        <v>44972</v>
      </c>
      <c r="C850" t="s">
        <v>10</v>
      </c>
      <c r="D850" t="s">
        <v>15</v>
      </c>
      <c r="E850" t="s">
        <v>153</v>
      </c>
      <c r="F850">
        <v>1</v>
      </c>
      <c r="G850">
        <v>2440</v>
      </c>
      <c r="H850">
        <v>2440</v>
      </c>
      <c r="I850">
        <v>733</v>
      </c>
      <c r="J850" t="s">
        <v>22</v>
      </c>
    </row>
    <row r="851" spans="1:10" x14ac:dyDescent="0.35">
      <c r="A851" t="s">
        <v>921</v>
      </c>
      <c r="B851" s="1">
        <v>44935</v>
      </c>
      <c r="C851" t="s">
        <v>24</v>
      </c>
      <c r="D851" t="s">
        <v>40</v>
      </c>
      <c r="E851" t="s">
        <v>60</v>
      </c>
      <c r="F851">
        <v>4</v>
      </c>
      <c r="G851">
        <v>1840</v>
      </c>
      <c r="H851">
        <v>7360</v>
      </c>
      <c r="I851">
        <v>1912</v>
      </c>
      <c r="J851" t="s">
        <v>17</v>
      </c>
    </row>
    <row r="852" spans="1:10" x14ac:dyDescent="0.35">
      <c r="A852" t="s">
        <v>922</v>
      </c>
      <c r="B852" s="1">
        <v>45020</v>
      </c>
      <c r="C852" t="s">
        <v>10</v>
      </c>
      <c r="D852" t="s">
        <v>25</v>
      </c>
      <c r="E852" t="s">
        <v>21</v>
      </c>
      <c r="F852">
        <v>8</v>
      </c>
      <c r="G852">
        <v>4152</v>
      </c>
      <c r="H852">
        <v>33216</v>
      </c>
      <c r="I852">
        <v>8014</v>
      </c>
      <c r="J852" t="s">
        <v>22</v>
      </c>
    </row>
    <row r="853" spans="1:10" x14ac:dyDescent="0.35">
      <c r="A853" t="s">
        <v>923</v>
      </c>
      <c r="B853" s="1">
        <v>45255</v>
      </c>
      <c r="C853" t="s">
        <v>24</v>
      </c>
      <c r="D853" t="s">
        <v>15</v>
      </c>
      <c r="E853" t="s">
        <v>64</v>
      </c>
      <c r="F853">
        <v>4</v>
      </c>
      <c r="G853">
        <v>1289</v>
      </c>
      <c r="H853">
        <v>5156</v>
      </c>
      <c r="I853">
        <v>663</v>
      </c>
      <c r="J853" t="s">
        <v>22</v>
      </c>
    </row>
    <row r="854" spans="1:10" x14ac:dyDescent="0.35">
      <c r="A854" t="s">
        <v>924</v>
      </c>
      <c r="B854" s="1">
        <v>44938</v>
      </c>
      <c r="C854" t="s">
        <v>30</v>
      </c>
      <c r="D854" t="s">
        <v>11</v>
      </c>
      <c r="E854" t="s">
        <v>173</v>
      </c>
      <c r="F854">
        <v>5</v>
      </c>
      <c r="G854">
        <v>4008</v>
      </c>
      <c r="H854">
        <v>20040</v>
      </c>
      <c r="I854">
        <v>5236</v>
      </c>
      <c r="J854" t="s">
        <v>32</v>
      </c>
    </row>
    <row r="855" spans="1:10" x14ac:dyDescent="0.35">
      <c r="A855" t="s">
        <v>925</v>
      </c>
      <c r="B855" s="1">
        <v>45109</v>
      </c>
      <c r="C855" t="s">
        <v>10</v>
      </c>
      <c r="D855" t="s">
        <v>25</v>
      </c>
      <c r="E855" t="s">
        <v>179</v>
      </c>
      <c r="F855">
        <v>2</v>
      </c>
      <c r="G855">
        <v>2026</v>
      </c>
      <c r="H855">
        <v>4052</v>
      </c>
      <c r="I855">
        <v>847</v>
      </c>
      <c r="J855" t="s">
        <v>22</v>
      </c>
    </row>
    <row r="856" spans="1:10" x14ac:dyDescent="0.35">
      <c r="A856" t="s">
        <v>926</v>
      </c>
      <c r="B856" s="1">
        <v>45218</v>
      </c>
      <c r="C856" t="s">
        <v>24</v>
      </c>
      <c r="D856" t="s">
        <v>40</v>
      </c>
      <c r="E856" t="s">
        <v>68</v>
      </c>
      <c r="F856">
        <v>3</v>
      </c>
      <c r="G856">
        <v>3247</v>
      </c>
      <c r="H856">
        <v>9741</v>
      </c>
      <c r="I856">
        <v>2391</v>
      </c>
      <c r="J856" t="s">
        <v>13</v>
      </c>
    </row>
    <row r="857" spans="1:10" x14ac:dyDescent="0.35">
      <c r="A857" t="s">
        <v>927</v>
      </c>
      <c r="B857" s="1">
        <v>45084</v>
      </c>
      <c r="C857" t="s">
        <v>24</v>
      </c>
      <c r="D857" t="s">
        <v>15</v>
      </c>
      <c r="E857" t="s">
        <v>41</v>
      </c>
      <c r="F857">
        <v>10</v>
      </c>
      <c r="G857">
        <v>4957</v>
      </c>
      <c r="H857">
        <v>49570</v>
      </c>
      <c r="I857">
        <v>15571</v>
      </c>
      <c r="J857" t="s">
        <v>17</v>
      </c>
    </row>
    <row r="858" spans="1:10" x14ac:dyDescent="0.35">
      <c r="A858" t="s">
        <v>928</v>
      </c>
      <c r="B858" s="1">
        <v>45255</v>
      </c>
      <c r="C858" t="s">
        <v>19</v>
      </c>
      <c r="D858" t="s">
        <v>11</v>
      </c>
      <c r="E858" t="s">
        <v>38</v>
      </c>
      <c r="F858">
        <v>9</v>
      </c>
      <c r="G858">
        <v>4662</v>
      </c>
      <c r="H858">
        <v>41958</v>
      </c>
      <c r="I858">
        <v>10029</v>
      </c>
      <c r="J858" t="s">
        <v>22</v>
      </c>
    </row>
    <row r="859" spans="1:10" x14ac:dyDescent="0.35">
      <c r="A859" t="s">
        <v>929</v>
      </c>
      <c r="B859" s="1">
        <v>45275</v>
      </c>
      <c r="C859" t="s">
        <v>30</v>
      </c>
      <c r="D859" t="s">
        <v>20</v>
      </c>
      <c r="E859" t="s">
        <v>179</v>
      </c>
      <c r="F859">
        <v>3</v>
      </c>
      <c r="G859">
        <v>2054</v>
      </c>
      <c r="H859">
        <v>6162</v>
      </c>
      <c r="I859">
        <v>714</v>
      </c>
      <c r="J859" t="s">
        <v>22</v>
      </c>
    </row>
    <row r="860" spans="1:10" x14ac:dyDescent="0.35">
      <c r="A860" t="s">
        <v>930</v>
      </c>
      <c r="B860" s="1">
        <v>45232</v>
      </c>
      <c r="C860" t="s">
        <v>10</v>
      </c>
      <c r="D860" t="s">
        <v>40</v>
      </c>
      <c r="E860" t="s">
        <v>87</v>
      </c>
      <c r="F860">
        <v>2</v>
      </c>
      <c r="G860">
        <v>1433</v>
      </c>
      <c r="H860">
        <v>2866</v>
      </c>
      <c r="I860">
        <v>728</v>
      </c>
      <c r="J860" t="s">
        <v>13</v>
      </c>
    </row>
    <row r="861" spans="1:10" x14ac:dyDescent="0.35">
      <c r="A861" t="s">
        <v>931</v>
      </c>
      <c r="B861" s="1">
        <v>45261</v>
      </c>
      <c r="C861" t="s">
        <v>10</v>
      </c>
      <c r="D861" t="s">
        <v>11</v>
      </c>
      <c r="E861" t="s">
        <v>12</v>
      </c>
      <c r="F861">
        <v>3</v>
      </c>
      <c r="G861">
        <v>2315</v>
      </c>
      <c r="H861">
        <v>6945</v>
      </c>
      <c r="I861">
        <v>1908</v>
      </c>
      <c r="J861" t="s">
        <v>13</v>
      </c>
    </row>
    <row r="862" spans="1:10" x14ac:dyDescent="0.35">
      <c r="A862" t="s">
        <v>932</v>
      </c>
      <c r="B862" s="1">
        <v>45225</v>
      </c>
      <c r="C862" t="s">
        <v>30</v>
      </c>
      <c r="D862" t="s">
        <v>20</v>
      </c>
      <c r="E862" t="s">
        <v>64</v>
      </c>
      <c r="F862">
        <v>10</v>
      </c>
      <c r="G862">
        <v>3364</v>
      </c>
      <c r="H862">
        <v>33640</v>
      </c>
      <c r="I862">
        <v>12546</v>
      </c>
      <c r="J862" t="s">
        <v>22</v>
      </c>
    </row>
    <row r="863" spans="1:10" x14ac:dyDescent="0.35">
      <c r="A863" t="s">
        <v>933</v>
      </c>
      <c r="B863" s="1">
        <v>45110</v>
      </c>
      <c r="C863" t="s">
        <v>24</v>
      </c>
      <c r="D863" t="s">
        <v>15</v>
      </c>
      <c r="E863" t="s">
        <v>208</v>
      </c>
      <c r="F863">
        <v>2</v>
      </c>
      <c r="G863">
        <v>3954</v>
      </c>
      <c r="H863">
        <v>7908</v>
      </c>
      <c r="I863">
        <v>1700</v>
      </c>
      <c r="J863" t="s">
        <v>32</v>
      </c>
    </row>
    <row r="864" spans="1:10" x14ac:dyDescent="0.35">
      <c r="A864" t="s">
        <v>934</v>
      </c>
      <c r="B864" s="1">
        <v>45148</v>
      </c>
      <c r="C864" t="s">
        <v>30</v>
      </c>
      <c r="D864" t="s">
        <v>11</v>
      </c>
      <c r="E864" t="s">
        <v>218</v>
      </c>
      <c r="F864">
        <v>10</v>
      </c>
      <c r="G864">
        <v>1710</v>
      </c>
      <c r="H864">
        <v>17100</v>
      </c>
      <c r="I864">
        <v>2561</v>
      </c>
      <c r="J864" t="s">
        <v>22</v>
      </c>
    </row>
    <row r="865" spans="1:10" x14ac:dyDescent="0.35">
      <c r="A865" t="s">
        <v>935</v>
      </c>
      <c r="B865" s="1">
        <v>44952</v>
      </c>
      <c r="C865" t="s">
        <v>19</v>
      </c>
      <c r="D865" t="s">
        <v>20</v>
      </c>
      <c r="E865" t="s">
        <v>64</v>
      </c>
      <c r="F865">
        <v>9</v>
      </c>
      <c r="G865">
        <v>4263</v>
      </c>
      <c r="H865">
        <v>38367</v>
      </c>
      <c r="I865">
        <v>11136</v>
      </c>
      <c r="J865" t="s">
        <v>32</v>
      </c>
    </row>
    <row r="866" spans="1:10" x14ac:dyDescent="0.35">
      <c r="A866" t="s">
        <v>936</v>
      </c>
      <c r="B866" s="1">
        <v>45067</v>
      </c>
      <c r="C866" t="s">
        <v>30</v>
      </c>
      <c r="D866" t="s">
        <v>20</v>
      </c>
      <c r="E866" t="s">
        <v>149</v>
      </c>
      <c r="F866">
        <v>3</v>
      </c>
      <c r="G866">
        <v>2425</v>
      </c>
      <c r="H866">
        <v>7275</v>
      </c>
      <c r="I866">
        <v>1765</v>
      </c>
      <c r="J866" t="s">
        <v>22</v>
      </c>
    </row>
    <row r="867" spans="1:10" x14ac:dyDescent="0.35">
      <c r="A867" t="s">
        <v>937</v>
      </c>
      <c r="B867" s="1">
        <v>45179</v>
      </c>
      <c r="C867" t="s">
        <v>24</v>
      </c>
      <c r="D867" t="s">
        <v>15</v>
      </c>
      <c r="E867" t="s">
        <v>100</v>
      </c>
      <c r="F867">
        <v>3</v>
      </c>
      <c r="G867">
        <v>1592</v>
      </c>
      <c r="H867">
        <v>4776</v>
      </c>
      <c r="I867">
        <v>1832</v>
      </c>
      <c r="J867" t="s">
        <v>13</v>
      </c>
    </row>
    <row r="868" spans="1:10" x14ac:dyDescent="0.35">
      <c r="A868" t="s">
        <v>938</v>
      </c>
      <c r="B868" s="1">
        <v>44966</v>
      </c>
      <c r="C868" t="s">
        <v>19</v>
      </c>
      <c r="D868" t="s">
        <v>20</v>
      </c>
      <c r="E868" t="s">
        <v>31</v>
      </c>
      <c r="F868">
        <v>3</v>
      </c>
      <c r="G868">
        <v>2438</v>
      </c>
      <c r="H868">
        <v>7314</v>
      </c>
      <c r="I868">
        <v>2197</v>
      </c>
      <c r="J868" t="s">
        <v>22</v>
      </c>
    </row>
    <row r="869" spans="1:10" x14ac:dyDescent="0.35">
      <c r="A869" t="s">
        <v>939</v>
      </c>
      <c r="B869" s="1">
        <v>45131</v>
      </c>
      <c r="C869" t="s">
        <v>19</v>
      </c>
      <c r="D869" t="s">
        <v>25</v>
      </c>
      <c r="E869" t="s">
        <v>80</v>
      </c>
      <c r="F869">
        <v>6</v>
      </c>
      <c r="G869">
        <v>2718</v>
      </c>
      <c r="H869">
        <v>16308</v>
      </c>
      <c r="I869">
        <v>2258</v>
      </c>
      <c r="J869" t="s">
        <v>22</v>
      </c>
    </row>
    <row r="870" spans="1:10" x14ac:dyDescent="0.35">
      <c r="A870" t="s">
        <v>940</v>
      </c>
      <c r="B870" s="1">
        <v>45130</v>
      </c>
      <c r="C870" t="s">
        <v>19</v>
      </c>
      <c r="D870" t="s">
        <v>11</v>
      </c>
      <c r="E870" t="s">
        <v>113</v>
      </c>
      <c r="F870">
        <v>1</v>
      </c>
      <c r="G870">
        <v>4562</v>
      </c>
      <c r="H870">
        <v>4562</v>
      </c>
      <c r="I870">
        <v>1549</v>
      </c>
      <c r="J870" t="s">
        <v>13</v>
      </c>
    </row>
    <row r="871" spans="1:10" x14ac:dyDescent="0.35">
      <c r="A871" t="s">
        <v>941</v>
      </c>
      <c r="B871" s="1">
        <v>45205</v>
      </c>
      <c r="C871" t="s">
        <v>19</v>
      </c>
      <c r="D871" t="s">
        <v>25</v>
      </c>
      <c r="E871" t="s">
        <v>208</v>
      </c>
      <c r="F871">
        <v>6</v>
      </c>
      <c r="G871">
        <v>4679</v>
      </c>
      <c r="H871">
        <v>28074</v>
      </c>
      <c r="I871">
        <v>3140</v>
      </c>
      <c r="J871" t="s">
        <v>32</v>
      </c>
    </row>
    <row r="872" spans="1:10" x14ac:dyDescent="0.35">
      <c r="A872" t="s">
        <v>942</v>
      </c>
      <c r="B872" s="1">
        <v>45117</v>
      </c>
      <c r="C872" t="s">
        <v>24</v>
      </c>
      <c r="D872" t="s">
        <v>20</v>
      </c>
      <c r="E872" t="s">
        <v>173</v>
      </c>
      <c r="F872">
        <v>4</v>
      </c>
      <c r="G872">
        <v>3426</v>
      </c>
      <c r="H872">
        <v>13704</v>
      </c>
      <c r="I872">
        <v>1753</v>
      </c>
      <c r="J872" t="s">
        <v>32</v>
      </c>
    </row>
    <row r="873" spans="1:10" x14ac:dyDescent="0.35">
      <c r="A873" t="s">
        <v>943</v>
      </c>
      <c r="B873" s="1">
        <v>45292</v>
      </c>
      <c r="C873" t="s">
        <v>24</v>
      </c>
      <c r="D873" t="s">
        <v>15</v>
      </c>
      <c r="E873" t="s">
        <v>100</v>
      </c>
      <c r="F873">
        <v>6</v>
      </c>
      <c r="G873">
        <v>1832</v>
      </c>
      <c r="H873">
        <v>10992</v>
      </c>
      <c r="I873">
        <v>1650</v>
      </c>
      <c r="J873" t="s">
        <v>17</v>
      </c>
    </row>
    <row r="874" spans="1:10" x14ac:dyDescent="0.35">
      <c r="A874" t="s">
        <v>944</v>
      </c>
      <c r="B874" s="1">
        <v>45227</v>
      </c>
      <c r="C874" t="s">
        <v>24</v>
      </c>
      <c r="D874" t="s">
        <v>15</v>
      </c>
      <c r="E874" t="s">
        <v>151</v>
      </c>
      <c r="F874">
        <v>2</v>
      </c>
      <c r="G874">
        <v>3755</v>
      </c>
      <c r="H874">
        <v>7510</v>
      </c>
      <c r="I874">
        <v>2338</v>
      </c>
      <c r="J874" t="s">
        <v>32</v>
      </c>
    </row>
    <row r="875" spans="1:10" x14ac:dyDescent="0.35">
      <c r="A875" t="s">
        <v>945</v>
      </c>
      <c r="B875" s="1">
        <v>45291</v>
      </c>
      <c r="C875" t="s">
        <v>10</v>
      </c>
      <c r="D875" t="s">
        <v>25</v>
      </c>
      <c r="E875" t="s">
        <v>130</v>
      </c>
      <c r="F875">
        <v>7</v>
      </c>
      <c r="G875">
        <v>4622</v>
      </c>
      <c r="H875">
        <v>32354</v>
      </c>
      <c r="I875">
        <v>11122</v>
      </c>
      <c r="J875" t="s">
        <v>17</v>
      </c>
    </row>
    <row r="876" spans="1:10" x14ac:dyDescent="0.35">
      <c r="A876" t="s">
        <v>946</v>
      </c>
      <c r="B876" s="1">
        <v>45193</v>
      </c>
      <c r="C876" t="s">
        <v>24</v>
      </c>
      <c r="D876" t="s">
        <v>25</v>
      </c>
      <c r="E876" t="s">
        <v>153</v>
      </c>
      <c r="F876">
        <v>5</v>
      </c>
      <c r="G876">
        <v>4406</v>
      </c>
      <c r="H876">
        <v>22030</v>
      </c>
      <c r="I876">
        <v>4853</v>
      </c>
      <c r="J876" t="s">
        <v>13</v>
      </c>
    </row>
    <row r="877" spans="1:10" x14ac:dyDescent="0.35">
      <c r="A877" t="s">
        <v>947</v>
      </c>
      <c r="B877" s="1">
        <v>45177</v>
      </c>
      <c r="C877" t="s">
        <v>30</v>
      </c>
      <c r="D877" t="s">
        <v>20</v>
      </c>
      <c r="E877" t="s">
        <v>34</v>
      </c>
      <c r="F877">
        <v>8</v>
      </c>
      <c r="G877">
        <v>560</v>
      </c>
      <c r="H877">
        <v>4480</v>
      </c>
      <c r="I877">
        <v>1372</v>
      </c>
      <c r="J877" t="s">
        <v>32</v>
      </c>
    </row>
    <row r="878" spans="1:10" x14ac:dyDescent="0.35">
      <c r="A878" t="s">
        <v>948</v>
      </c>
      <c r="B878" s="1">
        <v>45049</v>
      </c>
      <c r="C878" t="s">
        <v>24</v>
      </c>
      <c r="D878" t="s">
        <v>25</v>
      </c>
      <c r="E878" t="s">
        <v>78</v>
      </c>
      <c r="F878">
        <v>2</v>
      </c>
      <c r="G878">
        <v>1187</v>
      </c>
      <c r="H878">
        <v>2374</v>
      </c>
      <c r="I878">
        <v>733</v>
      </c>
      <c r="J878" t="s">
        <v>22</v>
      </c>
    </row>
    <row r="879" spans="1:10" x14ac:dyDescent="0.35">
      <c r="A879" t="s">
        <v>949</v>
      </c>
      <c r="B879" s="1">
        <v>45135</v>
      </c>
      <c r="C879" t="s">
        <v>30</v>
      </c>
      <c r="D879" t="s">
        <v>25</v>
      </c>
      <c r="E879" t="s">
        <v>179</v>
      </c>
      <c r="F879">
        <v>2</v>
      </c>
      <c r="G879">
        <v>3400</v>
      </c>
      <c r="H879">
        <v>6800</v>
      </c>
      <c r="I879">
        <v>2046</v>
      </c>
      <c r="J879" t="s">
        <v>32</v>
      </c>
    </row>
    <row r="880" spans="1:10" x14ac:dyDescent="0.35">
      <c r="A880" t="s">
        <v>950</v>
      </c>
      <c r="B880" s="1">
        <v>45153</v>
      </c>
      <c r="C880" t="s">
        <v>10</v>
      </c>
      <c r="D880" t="s">
        <v>15</v>
      </c>
      <c r="E880" t="s">
        <v>28</v>
      </c>
      <c r="F880">
        <v>6</v>
      </c>
      <c r="G880">
        <v>4871</v>
      </c>
      <c r="H880">
        <v>29226</v>
      </c>
      <c r="I880">
        <v>6670</v>
      </c>
      <c r="J880" t="s">
        <v>32</v>
      </c>
    </row>
    <row r="881" spans="1:10" x14ac:dyDescent="0.35">
      <c r="A881" t="s">
        <v>951</v>
      </c>
      <c r="B881" s="1">
        <v>44993</v>
      </c>
      <c r="C881" t="s">
        <v>19</v>
      </c>
      <c r="D881" t="s">
        <v>11</v>
      </c>
      <c r="E881" t="s">
        <v>58</v>
      </c>
      <c r="F881">
        <v>5</v>
      </c>
      <c r="G881">
        <v>3701</v>
      </c>
      <c r="H881">
        <v>18505</v>
      </c>
      <c r="I881">
        <v>2197</v>
      </c>
      <c r="J881" t="s">
        <v>17</v>
      </c>
    </row>
    <row r="882" spans="1:10" x14ac:dyDescent="0.35">
      <c r="A882" t="s">
        <v>952</v>
      </c>
      <c r="B882" s="1">
        <v>44956</v>
      </c>
      <c r="C882" t="s">
        <v>10</v>
      </c>
      <c r="D882" t="s">
        <v>11</v>
      </c>
      <c r="E882" t="s">
        <v>128</v>
      </c>
      <c r="F882">
        <v>1</v>
      </c>
      <c r="G882">
        <v>575</v>
      </c>
      <c r="H882">
        <v>575</v>
      </c>
      <c r="I882">
        <v>228</v>
      </c>
      <c r="J882" t="s">
        <v>22</v>
      </c>
    </row>
    <row r="883" spans="1:10" x14ac:dyDescent="0.35">
      <c r="A883" t="s">
        <v>953</v>
      </c>
      <c r="B883" s="1">
        <v>44943</v>
      </c>
      <c r="C883" t="s">
        <v>10</v>
      </c>
      <c r="D883" t="s">
        <v>40</v>
      </c>
      <c r="E883" t="s">
        <v>62</v>
      </c>
      <c r="F883">
        <v>9</v>
      </c>
      <c r="G883">
        <v>1516</v>
      </c>
      <c r="H883">
        <v>13644</v>
      </c>
      <c r="I883">
        <v>2928</v>
      </c>
      <c r="J883" t="s">
        <v>32</v>
      </c>
    </row>
    <row r="884" spans="1:10" x14ac:dyDescent="0.35">
      <c r="A884" t="s">
        <v>954</v>
      </c>
      <c r="B884" s="1">
        <v>44934</v>
      </c>
      <c r="C884" t="s">
        <v>30</v>
      </c>
      <c r="D884" t="s">
        <v>40</v>
      </c>
      <c r="E884" t="s">
        <v>48</v>
      </c>
      <c r="F884">
        <v>8</v>
      </c>
      <c r="G884">
        <v>2824</v>
      </c>
      <c r="H884">
        <v>22592</v>
      </c>
      <c r="I884">
        <v>6710</v>
      </c>
      <c r="J884" t="s">
        <v>13</v>
      </c>
    </row>
    <row r="885" spans="1:10" x14ac:dyDescent="0.35">
      <c r="A885" t="s">
        <v>955</v>
      </c>
      <c r="B885" s="1">
        <v>45043</v>
      </c>
      <c r="C885" t="s">
        <v>19</v>
      </c>
      <c r="D885" t="s">
        <v>11</v>
      </c>
      <c r="E885" t="s">
        <v>28</v>
      </c>
      <c r="F885">
        <v>5</v>
      </c>
      <c r="G885">
        <v>4069</v>
      </c>
      <c r="H885">
        <v>20345</v>
      </c>
      <c r="I885">
        <v>2380</v>
      </c>
      <c r="J885" t="s">
        <v>22</v>
      </c>
    </row>
    <row r="886" spans="1:10" x14ac:dyDescent="0.35">
      <c r="A886" t="s">
        <v>956</v>
      </c>
      <c r="B886" s="1">
        <v>45083</v>
      </c>
      <c r="C886" t="s">
        <v>30</v>
      </c>
      <c r="D886" t="s">
        <v>40</v>
      </c>
      <c r="E886" t="s">
        <v>41</v>
      </c>
      <c r="F886">
        <v>10</v>
      </c>
      <c r="G886">
        <v>2019</v>
      </c>
      <c r="H886">
        <v>20190</v>
      </c>
      <c r="I886">
        <v>5821</v>
      </c>
      <c r="J886" t="s">
        <v>13</v>
      </c>
    </row>
    <row r="887" spans="1:10" x14ac:dyDescent="0.35">
      <c r="A887" t="s">
        <v>957</v>
      </c>
      <c r="B887" s="1">
        <v>44970</v>
      </c>
      <c r="C887" t="s">
        <v>24</v>
      </c>
      <c r="D887" t="s">
        <v>25</v>
      </c>
      <c r="E887" t="s">
        <v>168</v>
      </c>
      <c r="F887">
        <v>3</v>
      </c>
      <c r="G887">
        <v>3703</v>
      </c>
      <c r="H887">
        <v>11109</v>
      </c>
      <c r="I887">
        <v>1560</v>
      </c>
      <c r="J887" t="s">
        <v>13</v>
      </c>
    </row>
    <row r="888" spans="1:10" x14ac:dyDescent="0.35">
      <c r="A888" t="s">
        <v>958</v>
      </c>
      <c r="B888" s="1">
        <v>45154</v>
      </c>
      <c r="C888" t="s">
        <v>19</v>
      </c>
      <c r="D888" t="s">
        <v>25</v>
      </c>
      <c r="E888" t="s">
        <v>46</v>
      </c>
      <c r="F888">
        <v>3</v>
      </c>
      <c r="G888">
        <v>1705</v>
      </c>
      <c r="H888">
        <v>5115</v>
      </c>
      <c r="I888">
        <v>1640</v>
      </c>
      <c r="J888" t="s">
        <v>32</v>
      </c>
    </row>
    <row r="889" spans="1:10" x14ac:dyDescent="0.35">
      <c r="A889" t="s">
        <v>959</v>
      </c>
      <c r="B889" s="1">
        <v>45004</v>
      </c>
      <c r="C889" t="s">
        <v>19</v>
      </c>
      <c r="D889" t="s">
        <v>11</v>
      </c>
      <c r="E889" t="s">
        <v>46</v>
      </c>
      <c r="F889">
        <v>5</v>
      </c>
      <c r="G889">
        <v>1257</v>
      </c>
      <c r="H889">
        <v>6285</v>
      </c>
      <c r="I889">
        <v>1886</v>
      </c>
      <c r="J889" t="s">
        <v>17</v>
      </c>
    </row>
    <row r="890" spans="1:10" x14ac:dyDescent="0.35">
      <c r="A890" t="s">
        <v>960</v>
      </c>
      <c r="B890" s="1">
        <v>45102</v>
      </c>
      <c r="C890" t="s">
        <v>10</v>
      </c>
      <c r="D890" t="s">
        <v>15</v>
      </c>
      <c r="E890" t="s">
        <v>36</v>
      </c>
      <c r="F890">
        <v>6</v>
      </c>
      <c r="G890">
        <v>3055</v>
      </c>
      <c r="H890">
        <v>18330</v>
      </c>
      <c r="I890">
        <v>5709</v>
      </c>
      <c r="J890" t="s">
        <v>32</v>
      </c>
    </row>
    <row r="891" spans="1:10" x14ac:dyDescent="0.35">
      <c r="A891" t="s">
        <v>961</v>
      </c>
      <c r="B891" s="1">
        <v>45065</v>
      </c>
      <c r="C891" t="s">
        <v>30</v>
      </c>
      <c r="D891" t="s">
        <v>25</v>
      </c>
      <c r="E891" t="s">
        <v>149</v>
      </c>
      <c r="F891">
        <v>8</v>
      </c>
      <c r="G891">
        <v>4579</v>
      </c>
      <c r="H891">
        <v>36632</v>
      </c>
      <c r="I891">
        <v>11551</v>
      </c>
      <c r="J891" t="s">
        <v>32</v>
      </c>
    </row>
    <row r="892" spans="1:10" x14ac:dyDescent="0.35">
      <c r="A892" t="s">
        <v>962</v>
      </c>
      <c r="B892" s="1">
        <v>45058</v>
      </c>
      <c r="C892" t="s">
        <v>19</v>
      </c>
      <c r="D892" t="s">
        <v>11</v>
      </c>
      <c r="E892" t="s">
        <v>36</v>
      </c>
      <c r="F892">
        <v>10</v>
      </c>
      <c r="G892">
        <v>1148</v>
      </c>
      <c r="H892">
        <v>11480</v>
      </c>
      <c r="I892">
        <v>3962</v>
      </c>
      <c r="J892" t="s">
        <v>17</v>
      </c>
    </row>
    <row r="893" spans="1:10" x14ac:dyDescent="0.35">
      <c r="A893" t="s">
        <v>963</v>
      </c>
      <c r="B893" s="1">
        <v>45033</v>
      </c>
      <c r="C893" t="s">
        <v>24</v>
      </c>
      <c r="D893" t="s">
        <v>40</v>
      </c>
      <c r="E893" t="s">
        <v>208</v>
      </c>
      <c r="F893">
        <v>1</v>
      </c>
      <c r="G893">
        <v>2688</v>
      </c>
      <c r="H893">
        <v>2688</v>
      </c>
      <c r="I893">
        <v>406</v>
      </c>
      <c r="J893" t="s">
        <v>13</v>
      </c>
    </row>
    <row r="894" spans="1:10" x14ac:dyDescent="0.35">
      <c r="A894" t="s">
        <v>964</v>
      </c>
      <c r="B894" s="1">
        <v>45280</v>
      </c>
      <c r="C894" t="s">
        <v>24</v>
      </c>
      <c r="D894" t="s">
        <v>25</v>
      </c>
      <c r="E894" t="s">
        <v>149</v>
      </c>
      <c r="F894">
        <v>4</v>
      </c>
      <c r="G894">
        <v>4874</v>
      </c>
      <c r="H894">
        <v>19496</v>
      </c>
      <c r="I894">
        <v>2770</v>
      </c>
      <c r="J894" t="s">
        <v>22</v>
      </c>
    </row>
    <row r="895" spans="1:10" x14ac:dyDescent="0.35">
      <c r="A895" t="s">
        <v>965</v>
      </c>
      <c r="B895" s="1">
        <v>45124</v>
      </c>
      <c r="C895" t="s">
        <v>10</v>
      </c>
      <c r="D895" t="s">
        <v>25</v>
      </c>
      <c r="E895" t="s">
        <v>34</v>
      </c>
      <c r="F895">
        <v>7</v>
      </c>
      <c r="G895">
        <v>4915</v>
      </c>
      <c r="H895">
        <v>34405</v>
      </c>
      <c r="I895">
        <v>6161</v>
      </c>
      <c r="J895" t="s">
        <v>13</v>
      </c>
    </row>
    <row r="896" spans="1:10" x14ac:dyDescent="0.35">
      <c r="A896" t="s">
        <v>966</v>
      </c>
      <c r="B896" s="1">
        <v>45060</v>
      </c>
      <c r="C896" t="s">
        <v>24</v>
      </c>
      <c r="D896" t="s">
        <v>40</v>
      </c>
      <c r="E896" t="s">
        <v>151</v>
      </c>
      <c r="F896">
        <v>6</v>
      </c>
      <c r="G896">
        <v>4375</v>
      </c>
      <c r="H896">
        <v>26250</v>
      </c>
      <c r="I896">
        <v>5635</v>
      </c>
      <c r="J896" t="s">
        <v>22</v>
      </c>
    </row>
    <row r="897" spans="1:10" x14ac:dyDescent="0.35">
      <c r="A897" t="s">
        <v>967</v>
      </c>
      <c r="B897" s="1">
        <v>45149</v>
      </c>
      <c r="C897" t="s">
        <v>24</v>
      </c>
      <c r="D897" t="s">
        <v>11</v>
      </c>
      <c r="E897" t="s">
        <v>21</v>
      </c>
      <c r="F897">
        <v>3</v>
      </c>
      <c r="G897">
        <v>1650</v>
      </c>
      <c r="H897">
        <v>4950</v>
      </c>
      <c r="I897">
        <v>1747</v>
      </c>
      <c r="J897" t="s">
        <v>22</v>
      </c>
    </row>
    <row r="898" spans="1:10" x14ac:dyDescent="0.35">
      <c r="A898" t="s">
        <v>968</v>
      </c>
      <c r="B898" s="1">
        <v>45290</v>
      </c>
      <c r="C898" t="s">
        <v>24</v>
      </c>
      <c r="D898" t="s">
        <v>11</v>
      </c>
      <c r="E898" t="s">
        <v>113</v>
      </c>
      <c r="F898">
        <v>10</v>
      </c>
      <c r="G898">
        <v>630</v>
      </c>
      <c r="H898">
        <v>6300</v>
      </c>
      <c r="I898">
        <v>1657</v>
      </c>
      <c r="J898" t="s">
        <v>22</v>
      </c>
    </row>
    <row r="899" spans="1:10" x14ac:dyDescent="0.35">
      <c r="A899" t="s">
        <v>969</v>
      </c>
      <c r="B899" s="1">
        <v>45032</v>
      </c>
      <c r="C899" t="s">
        <v>10</v>
      </c>
      <c r="D899" t="s">
        <v>25</v>
      </c>
      <c r="E899" t="s">
        <v>36</v>
      </c>
      <c r="F899">
        <v>6</v>
      </c>
      <c r="G899">
        <v>1185</v>
      </c>
      <c r="H899">
        <v>7110</v>
      </c>
      <c r="I899">
        <v>1049</v>
      </c>
      <c r="J899" t="s">
        <v>22</v>
      </c>
    </row>
    <row r="900" spans="1:10" x14ac:dyDescent="0.35">
      <c r="A900" t="s">
        <v>970</v>
      </c>
      <c r="B900" s="1">
        <v>45129</v>
      </c>
      <c r="C900" t="s">
        <v>10</v>
      </c>
      <c r="D900" t="s">
        <v>40</v>
      </c>
      <c r="E900" t="s">
        <v>12</v>
      </c>
      <c r="F900">
        <v>9</v>
      </c>
      <c r="G900">
        <v>1684</v>
      </c>
      <c r="H900">
        <v>15156</v>
      </c>
      <c r="I900">
        <v>4304</v>
      </c>
      <c r="J900" t="s">
        <v>13</v>
      </c>
    </row>
    <row r="901" spans="1:10" x14ac:dyDescent="0.35">
      <c r="A901" t="s">
        <v>971</v>
      </c>
      <c r="B901" s="1">
        <v>44957</v>
      </c>
      <c r="C901" t="s">
        <v>19</v>
      </c>
      <c r="D901" t="s">
        <v>15</v>
      </c>
      <c r="E901" t="s">
        <v>46</v>
      </c>
      <c r="F901">
        <v>1</v>
      </c>
      <c r="G901">
        <v>3783</v>
      </c>
      <c r="H901">
        <v>3783</v>
      </c>
      <c r="I901">
        <v>835</v>
      </c>
      <c r="J901" t="s">
        <v>22</v>
      </c>
    </row>
    <row r="902" spans="1:10" x14ac:dyDescent="0.35">
      <c r="A902" t="s">
        <v>972</v>
      </c>
      <c r="B902" s="1">
        <v>45219</v>
      </c>
      <c r="C902" t="s">
        <v>10</v>
      </c>
      <c r="D902" t="s">
        <v>40</v>
      </c>
      <c r="E902" t="s">
        <v>118</v>
      </c>
      <c r="F902">
        <v>5</v>
      </c>
      <c r="G902">
        <v>1889</v>
      </c>
      <c r="H902">
        <v>9445</v>
      </c>
      <c r="I902">
        <v>1445</v>
      </c>
      <c r="J902" t="s">
        <v>13</v>
      </c>
    </row>
    <row r="903" spans="1:10" x14ac:dyDescent="0.35">
      <c r="A903" t="s">
        <v>973</v>
      </c>
      <c r="B903" s="1">
        <v>45135</v>
      </c>
      <c r="C903" t="s">
        <v>24</v>
      </c>
      <c r="D903" t="s">
        <v>20</v>
      </c>
      <c r="E903" t="s">
        <v>173</v>
      </c>
      <c r="F903">
        <v>8</v>
      </c>
      <c r="G903">
        <v>782</v>
      </c>
      <c r="H903">
        <v>6256</v>
      </c>
      <c r="I903">
        <v>1176</v>
      </c>
      <c r="J903" t="s">
        <v>17</v>
      </c>
    </row>
    <row r="904" spans="1:10" x14ac:dyDescent="0.35">
      <c r="A904" t="s">
        <v>974</v>
      </c>
      <c r="B904" s="1">
        <v>44953</v>
      </c>
      <c r="C904" t="s">
        <v>10</v>
      </c>
      <c r="D904" t="s">
        <v>15</v>
      </c>
      <c r="E904" t="s">
        <v>130</v>
      </c>
      <c r="F904">
        <v>4</v>
      </c>
      <c r="G904">
        <v>3515</v>
      </c>
      <c r="H904">
        <v>14060</v>
      </c>
      <c r="I904">
        <v>4593</v>
      </c>
      <c r="J904" t="s">
        <v>22</v>
      </c>
    </row>
    <row r="905" spans="1:10" x14ac:dyDescent="0.35">
      <c r="A905" t="s">
        <v>975</v>
      </c>
      <c r="B905" s="1">
        <v>45129</v>
      </c>
      <c r="C905" t="s">
        <v>19</v>
      </c>
      <c r="D905" t="s">
        <v>40</v>
      </c>
      <c r="E905" t="s">
        <v>102</v>
      </c>
      <c r="F905">
        <v>1</v>
      </c>
      <c r="G905">
        <v>3508</v>
      </c>
      <c r="H905">
        <v>3508</v>
      </c>
      <c r="I905">
        <v>1237</v>
      </c>
      <c r="J905" t="s">
        <v>17</v>
      </c>
    </row>
    <row r="906" spans="1:10" x14ac:dyDescent="0.35">
      <c r="A906" t="s">
        <v>976</v>
      </c>
      <c r="B906" s="1">
        <v>45200</v>
      </c>
      <c r="C906" t="s">
        <v>19</v>
      </c>
      <c r="D906" t="s">
        <v>25</v>
      </c>
      <c r="E906" t="s">
        <v>62</v>
      </c>
      <c r="F906">
        <v>10</v>
      </c>
      <c r="G906">
        <v>2480</v>
      </c>
      <c r="H906">
        <v>24800</v>
      </c>
      <c r="I906">
        <v>6534</v>
      </c>
      <c r="J906" t="s">
        <v>32</v>
      </c>
    </row>
    <row r="907" spans="1:10" x14ac:dyDescent="0.35">
      <c r="A907" t="s">
        <v>977</v>
      </c>
      <c r="B907" s="1">
        <v>45138</v>
      </c>
      <c r="C907" t="s">
        <v>10</v>
      </c>
      <c r="D907" t="s">
        <v>40</v>
      </c>
      <c r="E907" t="s">
        <v>36</v>
      </c>
      <c r="F907">
        <v>6</v>
      </c>
      <c r="G907">
        <v>4804</v>
      </c>
      <c r="H907">
        <v>28824</v>
      </c>
      <c r="I907">
        <v>3535</v>
      </c>
      <c r="J907" t="s">
        <v>17</v>
      </c>
    </row>
    <row r="908" spans="1:10" x14ac:dyDescent="0.35">
      <c r="A908" t="s">
        <v>978</v>
      </c>
      <c r="B908" s="1">
        <v>45189</v>
      </c>
      <c r="C908" t="s">
        <v>24</v>
      </c>
      <c r="D908" t="s">
        <v>15</v>
      </c>
      <c r="E908" t="s">
        <v>211</v>
      </c>
      <c r="F908">
        <v>2</v>
      </c>
      <c r="G908">
        <v>3576</v>
      </c>
      <c r="H908">
        <v>7152</v>
      </c>
      <c r="I908">
        <v>1952</v>
      </c>
      <c r="J908" t="s">
        <v>22</v>
      </c>
    </row>
    <row r="909" spans="1:10" x14ac:dyDescent="0.35">
      <c r="A909" t="s">
        <v>979</v>
      </c>
      <c r="B909" s="1">
        <v>45026</v>
      </c>
      <c r="C909" t="s">
        <v>24</v>
      </c>
      <c r="D909" t="s">
        <v>15</v>
      </c>
      <c r="E909" t="s">
        <v>43</v>
      </c>
      <c r="F909">
        <v>9</v>
      </c>
      <c r="G909">
        <v>3651</v>
      </c>
      <c r="H909">
        <v>32859</v>
      </c>
      <c r="I909">
        <v>4559</v>
      </c>
      <c r="J909" t="s">
        <v>13</v>
      </c>
    </row>
    <row r="910" spans="1:10" x14ac:dyDescent="0.35">
      <c r="A910" t="s">
        <v>980</v>
      </c>
      <c r="B910" s="1">
        <v>45158</v>
      </c>
      <c r="C910" t="s">
        <v>30</v>
      </c>
      <c r="D910" t="s">
        <v>15</v>
      </c>
      <c r="E910" t="s">
        <v>130</v>
      </c>
      <c r="F910">
        <v>1</v>
      </c>
      <c r="G910">
        <v>2878</v>
      </c>
      <c r="H910">
        <v>2878</v>
      </c>
      <c r="I910">
        <v>733</v>
      </c>
      <c r="J910" t="s">
        <v>13</v>
      </c>
    </row>
    <row r="911" spans="1:10" x14ac:dyDescent="0.35">
      <c r="A911" t="s">
        <v>981</v>
      </c>
      <c r="B911" s="1">
        <v>45146</v>
      </c>
      <c r="C911" t="s">
        <v>24</v>
      </c>
      <c r="D911" t="s">
        <v>20</v>
      </c>
      <c r="E911" t="s">
        <v>126</v>
      </c>
      <c r="F911">
        <v>2</v>
      </c>
      <c r="G911">
        <v>4368</v>
      </c>
      <c r="H911">
        <v>8736</v>
      </c>
      <c r="I911">
        <v>1392</v>
      </c>
      <c r="J911" t="s">
        <v>32</v>
      </c>
    </row>
    <row r="912" spans="1:10" x14ac:dyDescent="0.35">
      <c r="A912" t="s">
        <v>982</v>
      </c>
      <c r="B912" s="1">
        <v>45018</v>
      </c>
      <c r="C912" t="s">
        <v>10</v>
      </c>
      <c r="D912" t="s">
        <v>20</v>
      </c>
      <c r="E912" t="s">
        <v>43</v>
      </c>
      <c r="F912">
        <v>10</v>
      </c>
      <c r="G912">
        <v>1167</v>
      </c>
      <c r="H912">
        <v>11670</v>
      </c>
      <c r="I912">
        <v>4340</v>
      </c>
      <c r="J912" t="s">
        <v>22</v>
      </c>
    </row>
    <row r="913" spans="1:10" x14ac:dyDescent="0.35">
      <c r="A913" t="s">
        <v>983</v>
      </c>
      <c r="B913" s="1">
        <v>45126</v>
      </c>
      <c r="C913" t="s">
        <v>19</v>
      </c>
      <c r="D913" t="s">
        <v>40</v>
      </c>
      <c r="E913" t="s">
        <v>168</v>
      </c>
      <c r="F913">
        <v>3</v>
      </c>
      <c r="G913">
        <v>4002</v>
      </c>
      <c r="H913">
        <v>12006</v>
      </c>
      <c r="I913">
        <v>3136</v>
      </c>
      <c r="J913" t="s">
        <v>17</v>
      </c>
    </row>
    <row r="914" spans="1:10" x14ac:dyDescent="0.35">
      <c r="A914" t="s">
        <v>984</v>
      </c>
      <c r="B914" s="1">
        <v>45022</v>
      </c>
      <c r="C914" t="s">
        <v>10</v>
      </c>
      <c r="D914" t="s">
        <v>20</v>
      </c>
      <c r="E914" t="s">
        <v>102</v>
      </c>
      <c r="F914">
        <v>6</v>
      </c>
      <c r="G914">
        <v>3418</v>
      </c>
      <c r="H914">
        <v>20508</v>
      </c>
      <c r="I914">
        <v>4924</v>
      </c>
      <c r="J914" t="s">
        <v>22</v>
      </c>
    </row>
    <row r="915" spans="1:10" x14ac:dyDescent="0.35">
      <c r="A915" t="s">
        <v>985</v>
      </c>
      <c r="B915" s="1">
        <v>45123</v>
      </c>
      <c r="C915" t="s">
        <v>30</v>
      </c>
      <c r="D915" t="s">
        <v>25</v>
      </c>
      <c r="E915" t="s">
        <v>64</v>
      </c>
      <c r="F915">
        <v>3</v>
      </c>
      <c r="G915">
        <v>3161</v>
      </c>
      <c r="H915">
        <v>9483</v>
      </c>
      <c r="I915">
        <v>1430</v>
      </c>
      <c r="J915" t="s">
        <v>13</v>
      </c>
    </row>
    <row r="916" spans="1:10" x14ac:dyDescent="0.35">
      <c r="A916" t="s">
        <v>986</v>
      </c>
      <c r="B916" s="1">
        <v>45285</v>
      </c>
      <c r="C916" t="s">
        <v>24</v>
      </c>
      <c r="D916" t="s">
        <v>25</v>
      </c>
      <c r="E916" t="s">
        <v>21</v>
      </c>
      <c r="F916">
        <v>8</v>
      </c>
      <c r="G916">
        <v>3277</v>
      </c>
      <c r="H916">
        <v>26216</v>
      </c>
      <c r="I916">
        <v>6678</v>
      </c>
      <c r="J916" t="s">
        <v>13</v>
      </c>
    </row>
    <row r="917" spans="1:10" x14ac:dyDescent="0.35">
      <c r="A917" t="s">
        <v>987</v>
      </c>
      <c r="B917" s="1">
        <v>45283</v>
      </c>
      <c r="C917" t="s">
        <v>10</v>
      </c>
      <c r="D917" t="s">
        <v>25</v>
      </c>
      <c r="E917" t="s">
        <v>211</v>
      </c>
      <c r="F917">
        <v>8</v>
      </c>
      <c r="G917">
        <v>568</v>
      </c>
      <c r="H917">
        <v>4544</v>
      </c>
      <c r="I917">
        <v>1562</v>
      </c>
      <c r="J917" t="s">
        <v>32</v>
      </c>
    </row>
    <row r="918" spans="1:10" x14ac:dyDescent="0.35">
      <c r="A918" t="s">
        <v>988</v>
      </c>
      <c r="B918" s="1">
        <v>45292</v>
      </c>
      <c r="C918" t="s">
        <v>30</v>
      </c>
      <c r="D918" t="s">
        <v>11</v>
      </c>
      <c r="E918" t="s">
        <v>100</v>
      </c>
      <c r="F918">
        <v>5</v>
      </c>
      <c r="G918">
        <v>3803</v>
      </c>
      <c r="H918">
        <v>19015</v>
      </c>
      <c r="I918">
        <v>4940</v>
      </c>
      <c r="J918" t="s">
        <v>22</v>
      </c>
    </row>
    <row r="919" spans="1:10" x14ac:dyDescent="0.35">
      <c r="A919" t="s">
        <v>989</v>
      </c>
      <c r="B919" s="1">
        <v>45214</v>
      </c>
      <c r="C919" t="s">
        <v>24</v>
      </c>
      <c r="D919" t="s">
        <v>25</v>
      </c>
      <c r="E919" t="s">
        <v>41</v>
      </c>
      <c r="F919">
        <v>8</v>
      </c>
      <c r="G919">
        <v>3950</v>
      </c>
      <c r="H919">
        <v>31600</v>
      </c>
      <c r="I919">
        <v>3659</v>
      </c>
      <c r="J919" t="s">
        <v>22</v>
      </c>
    </row>
    <row r="920" spans="1:10" x14ac:dyDescent="0.35">
      <c r="A920" t="s">
        <v>990</v>
      </c>
      <c r="B920" s="1">
        <v>45224</v>
      </c>
      <c r="C920" t="s">
        <v>19</v>
      </c>
      <c r="D920" t="s">
        <v>15</v>
      </c>
      <c r="E920" t="s">
        <v>123</v>
      </c>
      <c r="F920">
        <v>9</v>
      </c>
      <c r="G920">
        <v>1339</v>
      </c>
      <c r="H920">
        <v>12051</v>
      </c>
      <c r="I920">
        <v>2719</v>
      </c>
      <c r="J920" t="s">
        <v>32</v>
      </c>
    </row>
    <row r="921" spans="1:10" x14ac:dyDescent="0.35">
      <c r="A921" t="s">
        <v>991</v>
      </c>
      <c r="B921" s="1">
        <v>44993</v>
      </c>
      <c r="C921" t="s">
        <v>19</v>
      </c>
      <c r="D921" t="s">
        <v>11</v>
      </c>
      <c r="E921" t="s">
        <v>168</v>
      </c>
      <c r="F921">
        <v>9</v>
      </c>
      <c r="G921">
        <v>3823</v>
      </c>
      <c r="H921">
        <v>34407</v>
      </c>
      <c r="I921">
        <v>13674</v>
      </c>
      <c r="J921" t="s">
        <v>17</v>
      </c>
    </row>
    <row r="922" spans="1:10" x14ac:dyDescent="0.35">
      <c r="A922" t="s">
        <v>992</v>
      </c>
      <c r="B922" s="1">
        <v>45194</v>
      </c>
      <c r="C922" t="s">
        <v>24</v>
      </c>
      <c r="D922" t="s">
        <v>20</v>
      </c>
      <c r="E922" t="s">
        <v>153</v>
      </c>
      <c r="F922">
        <v>4</v>
      </c>
      <c r="G922">
        <v>3590</v>
      </c>
      <c r="H922">
        <v>14360</v>
      </c>
      <c r="I922">
        <v>5448</v>
      </c>
      <c r="J922" t="s">
        <v>32</v>
      </c>
    </row>
    <row r="923" spans="1:10" x14ac:dyDescent="0.35">
      <c r="A923" t="s">
        <v>993</v>
      </c>
      <c r="B923" s="1">
        <v>45092</v>
      </c>
      <c r="C923" t="s">
        <v>19</v>
      </c>
      <c r="D923" t="s">
        <v>40</v>
      </c>
      <c r="E923" t="s">
        <v>64</v>
      </c>
      <c r="F923">
        <v>9</v>
      </c>
      <c r="G923">
        <v>1194</v>
      </c>
      <c r="H923">
        <v>10746</v>
      </c>
      <c r="I923">
        <v>1398</v>
      </c>
      <c r="J923" t="s">
        <v>13</v>
      </c>
    </row>
    <row r="924" spans="1:10" x14ac:dyDescent="0.35">
      <c r="A924" t="s">
        <v>994</v>
      </c>
      <c r="B924" s="1">
        <v>45270</v>
      </c>
      <c r="C924" t="s">
        <v>24</v>
      </c>
      <c r="D924" t="s">
        <v>40</v>
      </c>
      <c r="E924" t="s">
        <v>126</v>
      </c>
      <c r="F924">
        <v>4</v>
      </c>
      <c r="G924">
        <v>1661</v>
      </c>
      <c r="H924">
        <v>6644</v>
      </c>
      <c r="I924">
        <v>2482</v>
      </c>
      <c r="J924" t="s">
        <v>17</v>
      </c>
    </row>
    <row r="925" spans="1:10" x14ac:dyDescent="0.35">
      <c r="A925" t="s">
        <v>995</v>
      </c>
      <c r="B925" s="1">
        <v>45100</v>
      </c>
      <c r="C925" t="s">
        <v>19</v>
      </c>
      <c r="D925" t="s">
        <v>40</v>
      </c>
      <c r="E925" t="s">
        <v>100</v>
      </c>
      <c r="F925">
        <v>6</v>
      </c>
      <c r="G925">
        <v>4224</v>
      </c>
      <c r="H925">
        <v>25344</v>
      </c>
      <c r="I925">
        <v>6332</v>
      </c>
      <c r="J925" t="s">
        <v>17</v>
      </c>
    </row>
    <row r="926" spans="1:10" x14ac:dyDescent="0.35">
      <c r="A926" t="s">
        <v>996</v>
      </c>
      <c r="B926" s="1">
        <v>45245</v>
      </c>
      <c r="C926" t="s">
        <v>30</v>
      </c>
      <c r="D926" t="s">
        <v>15</v>
      </c>
      <c r="E926" t="s">
        <v>208</v>
      </c>
      <c r="F926">
        <v>3</v>
      </c>
      <c r="G926">
        <v>3653</v>
      </c>
      <c r="H926">
        <v>10959</v>
      </c>
      <c r="I926">
        <v>1794</v>
      </c>
      <c r="J926" t="s">
        <v>22</v>
      </c>
    </row>
    <row r="927" spans="1:10" x14ac:dyDescent="0.35">
      <c r="A927" t="s">
        <v>997</v>
      </c>
      <c r="B927" s="1">
        <v>45065</v>
      </c>
      <c r="C927" t="s">
        <v>24</v>
      </c>
      <c r="D927" t="s">
        <v>11</v>
      </c>
      <c r="E927" t="s">
        <v>126</v>
      </c>
      <c r="F927">
        <v>10</v>
      </c>
      <c r="G927">
        <v>2895</v>
      </c>
      <c r="H927">
        <v>28950</v>
      </c>
      <c r="I927">
        <v>6467</v>
      </c>
      <c r="J927" t="s">
        <v>22</v>
      </c>
    </row>
    <row r="928" spans="1:10" x14ac:dyDescent="0.35">
      <c r="A928" t="s">
        <v>998</v>
      </c>
      <c r="B928" s="1">
        <v>45187</v>
      </c>
      <c r="C928" t="s">
        <v>24</v>
      </c>
      <c r="D928" t="s">
        <v>11</v>
      </c>
      <c r="E928" t="s">
        <v>100</v>
      </c>
      <c r="F928">
        <v>3</v>
      </c>
      <c r="G928">
        <v>1926</v>
      </c>
      <c r="H928">
        <v>5778</v>
      </c>
      <c r="I928">
        <v>845</v>
      </c>
      <c r="J928" t="s">
        <v>32</v>
      </c>
    </row>
    <row r="929" spans="1:10" x14ac:dyDescent="0.35">
      <c r="A929" t="s">
        <v>999</v>
      </c>
      <c r="B929" s="1">
        <v>45109</v>
      </c>
      <c r="C929" t="s">
        <v>30</v>
      </c>
      <c r="D929" t="s">
        <v>11</v>
      </c>
      <c r="E929" t="s">
        <v>74</v>
      </c>
      <c r="F929">
        <v>10</v>
      </c>
      <c r="G929">
        <v>2651</v>
      </c>
      <c r="H929">
        <v>26510</v>
      </c>
      <c r="I929">
        <v>9352</v>
      </c>
      <c r="J929" t="s">
        <v>32</v>
      </c>
    </row>
    <row r="930" spans="1:10" x14ac:dyDescent="0.35">
      <c r="A930" t="s">
        <v>1000</v>
      </c>
      <c r="B930" s="1">
        <v>45135</v>
      </c>
      <c r="C930" t="s">
        <v>24</v>
      </c>
      <c r="D930" t="s">
        <v>20</v>
      </c>
      <c r="E930" t="s">
        <v>149</v>
      </c>
      <c r="F930">
        <v>2</v>
      </c>
      <c r="G930">
        <v>1117</v>
      </c>
      <c r="H930">
        <v>2234</v>
      </c>
      <c r="I930">
        <v>280</v>
      </c>
      <c r="J930" t="s">
        <v>17</v>
      </c>
    </row>
    <row r="931" spans="1:10" x14ac:dyDescent="0.35">
      <c r="A931" t="s">
        <v>1001</v>
      </c>
      <c r="B931" s="1">
        <v>45014</v>
      </c>
      <c r="C931" t="s">
        <v>19</v>
      </c>
      <c r="D931" t="s">
        <v>40</v>
      </c>
      <c r="E931" t="s">
        <v>60</v>
      </c>
      <c r="F931">
        <v>2</v>
      </c>
      <c r="G931">
        <v>4930</v>
      </c>
      <c r="H931">
        <v>9860</v>
      </c>
      <c r="I931">
        <v>1956</v>
      </c>
      <c r="J931" t="s">
        <v>17</v>
      </c>
    </row>
    <row r="932" spans="1:10" x14ac:dyDescent="0.35">
      <c r="A932" t="s">
        <v>1002</v>
      </c>
      <c r="B932" s="1">
        <v>45057</v>
      </c>
      <c r="C932" t="s">
        <v>10</v>
      </c>
      <c r="D932" t="s">
        <v>20</v>
      </c>
      <c r="E932" t="s">
        <v>46</v>
      </c>
      <c r="F932">
        <v>4</v>
      </c>
      <c r="G932">
        <v>4494</v>
      </c>
      <c r="H932">
        <v>17976</v>
      </c>
      <c r="I932">
        <v>4768</v>
      </c>
      <c r="J932" t="s">
        <v>32</v>
      </c>
    </row>
    <row r="933" spans="1:10" x14ac:dyDescent="0.35">
      <c r="A933" t="s">
        <v>1003</v>
      </c>
      <c r="B933" s="1">
        <v>45192</v>
      </c>
      <c r="C933" t="s">
        <v>19</v>
      </c>
      <c r="D933" t="s">
        <v>15</v>
      </c>
      <c r="E933" t="s">
        <v>74</v>
      </c>
      <c r="F933">
        <v>3</v>
      </c>
      <c r="G933">
        <v>1144</v>
      </c>
      <c r="H933">
        <v>3432</v>
      </c>
      <c r="I933">
        <v>1118</v>
      </c>
      <c r="J933" t="s">
        <v>17</v>
      </c>
    </row>
    <row r="934" spans="1:10" x14ac:dyDescent="0.35">
      <c r="A934" t="s">
        <v>1004</v>
      </c>
      <c r="B934" s="1">
        <v>45267</v>
      </c>
      <c r="C934" t="s">
        <v>19</v>
      </c>
      <c r="D934" t="s">
        <v>20</v>
      </c>
      <c r="E934" t="s">
        <v>128</v>
      </c>
      <c r="F934">
        <v>2</v>
      </c>
      <c r="G934">
        <v>3348</v>
      </c>
      <c r="H934">
        <v>6696</v>
      </c>
      <c r="I934">
        <v>1651</v>
      </c>
      <c r="J934" t="s">
        <v>32</v>
      </c>
    </row>
    <row r="935" spans="1:10" x14ac:dyDescent="0.35">
      <c r="A935" t="s">
        <v>1005</v>
      </c>
      <c r="B935" s="1">
        <v>45102</v>
      </c>
      <c r="C935" t="s">
        <v>10</v>
      </c>
      <c r="D935" t="s">
        <v>25</v>
      </c>
      <c r="E935" t="s">
        <v>111</v>
      </c>
      <c r="F935">
        <v>7</v>
      </c>
      <c r="G935">
        <v>3750</v>
      </c>
      <c r="H935">
        <v>26250</v>
      </c>
      <c r="I935">
        <v>10013</v>
      </c>
      <c r="J935" t="s">
        <v>32</v>
      </c>
    </row>
    <row r="936" spans="1:10" x14ac:dyDescent="0.35">
      <c r="A936" t="s">
        <v>1006</v>
      </c>
      <c r="B936" s="1">
        <v>44945</v>
      </c>
      <c r="C936" t="s">
        <v>24</v>
      </c>
      <c r="D936" t="s">
        <v>25</v>
      </c>
      <c r="E936" t="s">
        <v>89</v>
      </c>
      <c r="F936">
        <v>9</v>
      </c>
      <c r="G936">
        <v>3803</v>
      </c>
      <c r="H936">
        <v>34227</v>
      </c>
      <c r="I936">
        <v>12500</v>
      </c>
      <c r="J936" t="s">
        <v>22</v>
      </c>
    </row>
    <row r="937" spans="1:10" x14ac:dyDescent="0.35">
      <c r="A937" t="s">
        <v>1007</v>
      </c>
      <c r="B937" s="1">
        <v>45241</v>
      </c>
      <c r="C937" t="s">
        <v>24</v>
      </c>
      <c r="D937" t="s">
        <v>40</v>
      </c>
      <c r="E937" t="s">
        <v>28</v>
      </c>
      <c r="F937">
        <v>6</v>
      </c>
      <c r="G937">
        <v>3554</v>
      </c>
      <c r="H937">
        <v>21324</v>
      </c>
      <c r="I937">
        <v>6630</v>
      </c>
      <c r="J937" t="s">
        <v>13</v>
      </c>
    </row>
    <row r="938" spans="1:10" x14ac:dyDescent="0.35">
      <c r="A938" t="s">
        <v>1008</v>
      </c>
      <c r="B938" s="1">
        <v>45152</v>
      </c>
      <c r="C938" t="s">
        <v>19</v>
      </c>
      <c r="D938" t="s">
        <v>40</v>
      </c>
      <c r="E938" t="s">
        <v>218</v>
      </c>
      <c r="F938">
        <v>4</v>
      </c>
      <c r="G938">
        <v>3161</v>
      </c>
      <c r="H938">
        <v>12644</v>
      </c>
      <c r="I938">
        <v>1668</v>
      </c>
      <c r="J938" t="s">
        <v>17</v>
      </c>
    </row>
    <row r="939" spans="1:10" x14ac:dyDescent="0.35">
      <c r="A939" t="s">
        <v>1009</v>
      </c>
      <c r="B939" s="1">
        <v>45026</v>
      </c>
      <c r="C939" t="s">
        <v>10</v>
      </c>
      <c r="D939" t="s">
        <v>25</v>
      </c>
      <c r="E939" t="s">
        <v>218</v>
      </c>
      <c r="F939">
        <v>2</v>
      </c>
      <c r="G939">
        <v>1682</v>
      </c>
      <c r="H939">
        <v>3364</v>
      </c>
      <c r="I939">
        <v>1224</v>
      </c>
      <c r="J939" t="s">
        <v>17</v>
      </c>
    </row>
    <row r="940" spans="1:10" x14ac:dyDescent="0.35">
      <c r="A940" t="s">
        <v>1010</v>
      </c>
      <c r="B940" s="1">
        <v>45103</v>
      </c>
      <c r="C940" t="s">
        <v>10</v>
      </c>
      <c r="D940" t="s">
        <v>25</v>
      </c>
      <c r="E940" t="s">
        <v>137</v>
      </c>
      <c r="F940">
        <v>1</v>
      </c>
      <c r="G940">
        <v>685</v>
      </c>
      <c r="H940">
        <v>685</v>
      </c>
      <c r="I940">
        <v>111</v>
      </c>
      <c r="J940" t="s">
        <v>17</v>
      </c>
    </row>
    <row r="941" spans="1:10" x14ac:dyDescent="0.35">
      <c r="A941" t="s">
        <v>1011</v>
      </c>
      <c r="B941" s="1">
        <v>45245</v>
      </c>
      <c r="C941" t="s">
        <v>19</v>
      </c>
      <c r="D941" t="s">
        <v>20</v>
      </c>
      <c r="E941" t="s">
        <v>128</v>
      </c>
      <c r="F941">
        <v>2</v>
      </c>
      <c r="G941">
        <v>2645</v>
      </c>
      <c r="H941">
        <v>5290</v>
      </c>
      <c r="I941">
        <v>1231</v>
      </c>
      <c r="J941" t="s">
        <v>22</v>
      </c>
    </row>
    <row r="942" spans="1:10" x14ac:dyDescent="0.35">
      <c r="A942" t="s">
        <v>1012</v>
      </c>
      <c r="B942" s="1">
        <v>45113</v>
      </c>
      <c r="C942" t="s">
        <v>10</v>
      </c>
      <c r="D942" t="s">
        <v>40</v>
      </c>
      <c r="E942" t="s">
        <v>179</v>
      </c>
      <c r="F942">
        <v>2</v>
      </c>
      <c r="G942">
        <v>2728</v>
      </c>
      <c r="H942">
        <v>5456</v>
      </c>
      <c r="I942">
        <v>1910</v>
      </c>
      <c r="J942" t="s">
        <v>13</v>
      </c>
    </row>
    <row r="943" spans="1:10" x14ac:dyDescent="0.35">
      <c r="A943" t="s">
        <v>1013</v>
      </c>
      <c r="B943" s="1">
        <v>45045</v>
      </c>
      <c r="C943" t="s">
        <v>10</v>
      </c>
      <c r="D943" t="s">
        <v>11</v>
      </c>
      <c r="E943" t="s">
        <v>113</v>
      </c>
      <c r="F943">
        <v>1</v>
      </c>
      <c r="G943">
        <v>4045</v>
      </c>
      <c r="H943">
        <v>4045</v>
      </c>
      <c r="I943">
        <v>702</v>
      </c>
      <c r="J943" t="s">
        <v>17</v>
      </c>
    </row>
    <row r="944" spans="1:10" x14ac:dyDescent="0.35">
      <c r="A944" t="s">
        <v>1014</v>
      </c>
      <c r="B944" s="1">
        <v>45099</v>
      </c>
      <c r="C944" t="s">
        <v>24</v>
      </c>
      <c r="D944" t="s">
        <v>25</v>
      </c>
      <c r="E944" t="s">
        <v>71</v>
      </c>
      <c r="F944">
        <v>8</v>
      </c>
      <c r="G944">
        <v>1226</v>
      </c>
      <c r="H944">
        <v>9808</v>
      </c>
      <c r="I944">
        <v>1848</v>
      </c>
      <c r="J944" t="s">
        <v>22</v>
      </c>
    </row>
    <row r="945" spans="1:10" x14ac:dyDescent="0.35">
      <c r="A945" t="s">
        <v>1015</v>
      </c>
      <c r="B945" s="1">
        <v>45046</v>
      </c>
      <c r="C945" t="s">
        <v>19</v>
      </c>
      <c r="D945" t="s">
        <v>20</v>
      </c>
      <c r="E945" t="s">
        <v>208</v>
      </c>
      <c r="F945">
        <v>10</v>
      </c>
      <c r="G945">
        <v>4192</v>
      </c>
      <c r="H945">
        <v>41920</v>
      </c>
      <c r="I945">
        <v>6064</v>
      </c>
      <c r="J945" t="s">
        <v>13</v>
      </c>
    </row>
    <row r="946" spans="1:10" x14ac:dyDescent="0.35">
      <c r="A946" t="s">
        <v>1016</v>
      </c>
      <c r="B946" s="1">
        <v>44936</v>
      </c>
      <c r="C946" t="s">
        <v>10</v>
      </c>
      <c r="D946" t="s">
        <v>20</v>
      </c>
      <c r="E946" t="s">
        <v>168</v>
      </c>
      <c r="F946">
        <v>9</v>
      </c>
      <c r="G946">
        <v>4818</v>
      </c>
      <c r="H946">
        <v>43362</v>
      </c>
      <c r="I946">
        <v>11379</v>
      </c>
      <c r="J946" t="s">
        <v>32</v>
      </c>
    </row>
    <row r="947" spans="1:10" x14ac:dyDescent="0.35">
      <c r="A947" t="s">
        <v>1017</v>
      </c>
      <c r="B947" s="1">
        <v>45028</v>
      </c>
      <c r="C947" t="s">
        <v>19</v>
      </c>
      <c r="D947" t="s">
        <v>40</v>
      </c>
      <c r="E947" t="s">
        <v>149</v>
      </c>
      <c r="F947">
        <v>5</v>
      </c>
      <c r="G947">
        <v>3611</v>
      </c>
      <c r="H947">
        <v>18055</v>
      </c>
      <c r="I947">
        <v>6837</v>
      </c>
      <c r="J947" t="s">
        <v>17</v>
      </c>
    </row>
    <row r="948" spans="1:10" x14ac:dyDescent="0.35">
      <c r="A948" t="s">
        <v>1018</v>
      </c>
      <c r="B948" s="1">
        <v>45227</v>
      </c>
      <c r="C948" t="s">
        <v>30</v>
      </c>
      <c r="D948" t="s">
        <v>40</v>
      </c>
      <c r="E948" t="s">
        <v>118</v>
      </c>
      <c r="F948">
        <v>10</v>
      </c>
      <c r="G948">
        <v>1063</v>
      </c>
      <c r="H948">
        <v>10630</v>
      </c>
      <c r="I948">
        <v>3714</v>
      </c>
      <c r="J948" t="s">
        <v>22</v>
      </c>
    </row>
    <row r="949" spans="1:10" x14ac:dyDescent="0.35">
      <c r="A949" t="s">
        <v>1019</v>
      </c>
      <c r="B949" s="1">
        <v>45079</v>
      </c>
      <c r="C949" t="s">
        <v>30</v>
      </c>
      <c r="D949" t="s">
        <v>25</v>
      </c>
      <c r="E949" t="s">
        <v>21</v>
      </c>
      <c r="F949">
        <v>8</v>
      </c>
      <c r="G949">
        <v>1368</v>
      </c>
      <c r="H949">
        <v>10944</v>
      </c>
      <c r="I949">
        <v>3992</v>
      </c>
      <c r="J949" t="s">
        <v>17</v>
      </c>
    </row>
    <row r="950" spans="1:10" x14ac:dyDescent="0.35">
      <c r="A950" t="s">
        <v>1020</v>
      </c>
      <c r="B950" s="1">
        <v>45164</v>
      </c>
      <c r="C950" t="s">
        <v>30</v>
      </c>
      <c r="D950" t="s">
        <v>40</v>
      </c>
      <c r="E950" t="s">
        <v>365</v>
      </c>
      <c r="F950">
        <v>8</v>
      </c>
      <c r="G950">
        <v>1961</v>
      </c>
      <c r="H950">
        <v>15688</v>
      </c>
      <c r="I950">
        <v>1766</v>
      </c>
      <c r="J950" t="s">
        <v>32</v>
      </c>
    </row>
    <row r="951" spans="1:10" x14ac:dyDescent="0.35">
      <c r="A951" t="s">
        <v>1021</v>
      </c>
      <c r="B951" s="1">
        <v>44980</v>
      </c>
      <c r="C951" t="s">
        <v>19</v>
      </c>
      <c r="D951" t="s">
        <v>40</v>
      </c>
      <c r="E951" t="s">
        <v>36</v>
      </c>
      <c r="F951">
        <v>4</v>
      </c>
      <c r="G951">
        <v>1006</v>
      </c>
      <c r="H951">
        <v>4024</v>
      </c>
      <c r="I951">
        <v>1458</v>
      </c>
      <c r="J951" t="s">
        <v>13</v>
      </c>
    </row>
    <row r="952" spans="1:10" x14ac:dyDescent="0.35">
      <c r="A952" t="s">
        <v>1022</v>
      </c>
      <c r="B952" s="1">
        <v>45219</v>
      </c>
      <c r="C952" t="s">
        <v>10</v>
      </c>
      <c r="D952" t="s">
        <v>25</v>
      </c>
      <c r="E952" t="s">
        <v>218</v>
      </c>
      <c r="F952">
        <v>5</v>
      </c>
      <c r="G952">
        <v>543</v>
      </c>
      <c r="H952">
        <v>2715</v>
      </c>
      <c r="I952">
        <v>520</v>
      </c>
      <c r="J952" t="s">
        <v>13</v>
      </c>
    </row>
    <row r="953" spans="1:10" x14ac:dyDescent="0.35">
      <c r="A953" t="s">
        <v>1023</v>
      </c>
      <c r="B953" s="1">
        <v>45028</v>
      </c>
      <c r="C953" t="s">
        <v>19</v>
      </c>
      <c r="D953" t="s">
        <v>20</v>
      </c>
      <c r="E953" t="s">
        <v>21</v>
      </c>
      <c r="F953">
        <v>8</v>
      </c>
      <c r="G953">
        <v>863</v>
      </c>
      <c r="H953">
        <v>6904</v>
      </c>
      <c r="I953">
        <v>1296</v>
      </c>
      <c r="J953" t="s">
        <v>22</v>
      </c>
    </row>
    <row r="954" spans="1:10" x14ac:dyDescent="0.35">
      <c r="A954" t="s">
        <v>1024</v>
      </c>
      <c r="B954" s="1">
        <v>45027</v>
      </c>
      <c r="C954" t="s">
        <v>24</v>
      </c>
      <c r="D954" t="s">
        <v>11</v>
      </c>
      <c r="E954" t="s">
        <v>46</v>
      </c>
      <c r="F954">
        <v>3</v>
      </c>
      <c r="G954">
        <v>4282</v>
      </c>
      <c r="H954">
        <v>12846</v>
      </c>
      <c r="I954">
        <v>4722</v>
      </c>
      <c r="J954" t="s">
        <v>32</v>
      </c>
    </row>
    <row r="955" spans="1:10" x14ac:dyDescent="0.35">
      <c r="A955" t="s">
        <v>1025</v>
      </c>
      <c r="B955" s="1">
        <v>45220</v>
      </c>
      <c r="C955" t="s">
        <v>10</v>
      </c>
      <c r="D955" t="s">
        <v>40</v>
      </c>
      <c r="E955" t="s">
        <v>26</v>
      </c>
      <c r="F955">
        <v>9</v>
      </c>
      <c r="G955">
        <v>4379</v>
      </c>
      <c r="H955">
        <v>39411</v>
      </c>
      <c r="I955">
        <v>5174</v>
      </c>
      <c r="J955" t="s">
        <v>22</v>
      </c>
    </row>
    <row r="956" spans="1:10" x14ac:dyDescent="0.35">
      <c r="A956" t="s">
        <v>1026</v>
      </c>
      <c r="B956" s="1">
        <v>45218</v>
      </c>
      <c r="C956" t="s">
        <v>10</v>
      </c>
      <c r="D956" t="s">
        <v>20</v>
      </c>
      <c r="E956" t="s">
        <v>21</v>
      </c>
      <c r="F956">
        <v>10</v>
      </c>
      <c r="G956">
        <v>4977</v>
      </c>
      <c r="H956">
        <v>49770</v>
      </c>
      <c r="I956">
        <v>11148</v>
      </c>
      <c r="J956" t="s">
        <v>22</v>
      </c>
    </row>
    <row r="957" spans="1:10" x14ac:dyDescent="0.35">
      <c r="A957" t="s">
        <v>1027</v>
      </c>
      <c r="B957" s="1">
        <v>45256</v>
      </c>
      <c r="C957" t="s">
        <v>30</v>
      </c>
      <c r="D957" t="s">
        <v>15</v>
      </c>
      <c r="E957" t="s">
        <v>53</v>
      </c>
      <c r="F957">
        <v>3</v>
      </c>
      <c r="G957">
        <v>3916</v>
      </c>
      <c r="H957">
        <v>11748</v>
      </c>
      <c r="I957">
        <v>3871</v>
      </c>
      <c r="J957" t="s">
        <v>17</v>
      </c>
    </row>
    <row r="958" spans="1:10" x14ac:dyDescent="0.35">
      <c r="A958" t="s">
        <v>1028</v>
      </c>
      <c r="B958" s="1">
        <v>45097</v>
      </c>
      <c r="C958" t="s">
        <v>30</v>
      </c>
      <c r="D958" t="s">
        <v>15</v>
      </c>
      <c r="E958" t="s">
        <v>62</v>
      </c>
      <c r="F958">
        <v>7</v>
      </c>
      <c r="G958">
        <v>2906</v>
      </c>
      <c r="H958">
        <v>20342</v>
      </c>
      <c r="I958">
        <v>7061</v>
      </c>
      <c r="J958" t="s">
        <v>13</v>
      </c>
    </row>
    <row r="959" spans="1:10" x14ac:dyDescent="0.35">
      <c r="A959" t="s">
        <v>1029</v>
      </c>
      <c r="B959" s="1">
        <v>45138</v>
      </c>
      <c r="C959" t="s">
        <v>10</v>
      </c>
      <c r="D959" t="s">
        <v>40</v>
      </c>
      <c r="E959" t="s">
        <v>153</v>
      </c>
      <c r="F959">
        <v>8</v>
      </c>
      <c r="G959">
        <v>1502</v>
      </c>
      <c r="H959">
        <v>12016</v>
      </c>
      <c r="I959">
        <v>3535</v>
      </c>
      <c r="J959" t="s">
        <v>13</v>
      </c>
    </row>
    <row r="960" spans="1:10" x14ac:dyDescent="0.35">
      <c r="A960" t="s">
        <v>1030</v>
      </c>
      <c r="B960" s="1">
        <v>44989</v>
      </c>
      <c r="C960" t="s">
        <v>10</v>
      </c>
      <c r="D960" t="s">
        <v>20</v>
      </c>
      <c r="E960" t="s">
        <v>64</v>
      </c>
      <c r="F960">
        <v>5</v>
      </c>
      <c r="G960">
        <v>781</v>
      </c>
      <c r="H960">
        <v>3905</v>
      </c>
      <c r="I960">
        <v>692</v>
      </c>
      <c r="J960" t="s">
        <v>32</v>
      </c>
    </row>
    <row r="961" spans="1:10" x14ac:dyDescent="0.35">
      <c r="A961" t="s">
        <v>1031</v>
      </c>
      <c r="B961" s="1">
        <v>45042</v>
      </c>
      <c r="C961" t="s">
        <v>30</v>
      </c>
      <c r="D961" t="s">
        <v>15</v>
      </c>
      <c r="E961" t="s">
        <v>21</v>
      </c>
      <c r="F961">
        <v>1</v>
      </c>
      <c r="G961">
        <v>934</v>
      </c>
      <c r="H961">
        <v>934</v>
      </c>
      <c r="I961">
        <v>258</v>
      </c>
      <c r="J961" t="s">
        <v>17</v>
      </c>
    </row>
    <row r="962" spans="1:10" x14ac:dyDescent="0.35">
      <c r="A962" t="s">
        <v>1032</v>
      </c>
      <c r="B962" s="1">
        <v>44972</v>
      </c>
      <c r="C962" t="s">
        <v>30</v>
      </c>
      <c r="D962" t="s">
        <v>11</v>
      </c>
      <c r="E962" t="s">
        <v>130</v>
      </c>
      <c r="F962">
        <v>2</v>
      </c>
      <c r="G962">
        <v>1292</v>
      </c>
      <c r="H962">
        <v>2584</v>
      </c>
      <c r="I962">
        <v>709</v>
      </c>
      <c r="J962" t="s">
        <v>22</v>
      </c>
    </row>
    <row r="963" spans="1:10" x14ac:dyDescent="0.35">
      <c r="A963" t="s">
        <v>1033</v>
      </c>
      <c r="B963" s="1">
        <v>45141</v>
      </c>
      <c r="C963" t="s">
        <v>24</v>
      </c>
      <c r="D963" t="s">
        <v>40</v>
      </c>
      <c r="E963" t="s">
        <v>173</v>
      </c>
      <c r="F963">
        <v>2</v>
      </c>
      <c r="G963">
        <v>2043</v>
      </c>
      <c r="H963">
        <v>4086</v>
      </c>
      <c r="I963">
        <v>422</v>
      </c>
      <c r="J963" t="s">
        <v>22</v>
      </c>
    </row>
    <row r="964" spans="1:10" x14ac:dyDescent="0.35">
      <c r="A964" t="s">
        <v>1034</v>
      </c>
      <c r="B964" s="1">
        <v>44959</v>
      </c>
      <c r="C964" t="s">
        <v>10</v>
      </c>
      <c r="D964" t="s">
        <v>11</v>
      </c>
      <c r="E964" t="s">
        <v>153</v>
      </c>
      <c r="F964">
        <v>6</v>
      </c>
      <c r="G964">
        <v>4742</v>
      </c>
      <c r="H964">
        <v>28452</v>
      </c>
      <c r="I964">
        <v>7310</v>
      </c>
      <c r="J964" t="s">
        <v>32</v>
      </c>
    </row>
    <row r="965" spans="1:10" x14ac:dyDescent="0.35">
      <c r="A965" t="s">
        <v>1035</v>
      </c>
      <c r="B965" s="1">
        <v>45033</v>
      </c>
      <c r="C965" t="s">
        <v>19</v>
      </c>
      <c r="D965" t="s">
        <v>40</v>
      </c>
      <c r="E965" t="s">
        <v>128</v>
      </c>
      <c r="F965">
        <v>2</v>
      </c>
      <c r="G965">
        <v>2469</v>
      </c>
      <c r="H965">
        <v>4938</v>
      </c>
      <c r="I965">
        <v>629</v>
      </c>
      <c r="J965" t="s">
        <v>17</v>
      </c>
    </row>
    <row r="966" spans="1:10" x14ac:dyDescent="0.35">
      <c r="A966" t="s">
        <v>1036</v>
      </c>
      <c r="B966" s="1">
        <v>45048</v>
      </c>
      <c r="C966" t="s">
        <v>10</v>
      </c>
      <c r="D966" t="s">
        <v>25</v>
      </c>
      <c r="E966" t="s">
        <v>64</v>
      </c>
      <c r="F966">
        <v>9</v>
      </c>
      <c r="G966">
        <v>2086</v>
      </c>
      <c r="H966">
        <v>18774</v>
      </c>
      <c r="I966">
        <v>2182</v>
      </c>
      <c r="J966" t="s">
        <v>22</v>
      </c>
    </row>
    <row r="967" spans="1:10" x14ac:dyDescent="0.35">
      <c r="A967" t="s">
        <v>1037</v>
      </c>
      <c r="B967" s="1">
        <v>44957</v>
      </c>
      <c r="C967" t="s">
        <v>10</v>
      </c>
      <c r="D967" t="s">
        <v>25</v>
      </c>
      <c r="E967" t="s">
        <v>78</v>
      </c>
      <c r="F967">
        <v>8</v>
      </c>
      <c r="G967">
        <v>2814</v>
      </c>
      <c r="H967">
        <v>22512</v>
      </c>
      <c r="I967">
        <v>2394</v>
      </c>
      <c r="J967" t="s">
        <v>22</v>
      </c>
    </row>
    <row r="968" spans="1:10" x14ac:dyDescent="0.35">
      <c r="A968" t="s">
        <v>1038</v>
      </c>
      <c r="B968" s="1">
        <v>44996</v>
      </c>
      <c r="C968" t="s">
        <v>10</v>
      </c>
      <c r="D968" t="s">
        <v>40</v>
      </c>
      <c r="E968" t="s">
        <v>365</v>
      </c>
      <c r="F968">
        <v>5</v>
      </c>
      <c r="G968">
        <v>2410</v>
      </c>
      <c r="H968">
        <v>12050</v>
      </c>
      <c r="I968">
        <v>1798</v>
      </c>
      <c r="J968" t="s">
        <v>17</v>
      </c>
    </row>
    <row r="969" spans="1:10" x14ac:dyDescent="0.35">
      <c r="A969" t="s">
        <v>1039</v>
      </c>
      <c r="B969" s="1">
        <v>45018</v>
      </c>
      <c r="C969" t="s">
        <v>30</v>
      </c>
      <c r="D969" t="s">
        <v>40</v>
      </c>
      <c r="E969" t="s">
        <v>216</v>
      </c>
      <c r="F969">
        <v>4</v>
      </c>
      <c r="G969">
        <v>2387</v>
      </c>
      <c r="H969">
        <v>9548</v>
      </c>
      <c r="I969">
        <v>1648</v>
      </c>
      <c r="J969" t="s">
        <v>32</v>
      </c>
    </row>
    <row r="970" spans="1:10" x14ac:dyDescent="0.35">
      <c r="A970" t="s">
        <v>1040</v>
      </c>
      <c r="B970" s="1">
        <v>45208</v>
      </c>
      <c r="C970" t="s">
        <v>10</v>
      </c>
      <c r="D970" t="s">
        <v>15</v>
      </c>
      <c r="E970" t="s">
        <v>179</v>
      </c>
      <c r="F970">
        <v>1</v>
      </c>
      <c r="G970">
        <v>3638</v>
      </c>
      <c r="H970">
        <v>3638</v>
      </c>
      <c r="I970">
        <v>1178</v>
      </c>
      <c r="J970" t="s">
        <v>32</v>
      </c>
    </row>
    <row r="971" spans="1:10" x14ac:dyDescent="0.35">
      <c r="A971" t="s">
        <v>1041</v>
      </c>
      <c r="B971" s="1">
        <v>45058</v>
      </c>
      <c r="C971" t="s">
        <v>10</v>
      </c>
      <c r="D971" t="s">
        <v>25</v>
      </c>
      <c r="E971" t="s">
        <v>43</v>
      </c>
      <c r="F971">
        <v>10</v>
      </c>
      <c r="G971">
        <v>2932</v>
      </c>
      <c r="H971">
        <v>29320</v>
      </c>
      <c r="I971">
        <v>7570</v>
      </c>
      <c r="J971" t="s">
        <v>22</v>
      </c>
    </row>
    <row r="972" spans="1:10" x14ac:dyDescent="0.35">
      <c r="A972" t="s">
        <v>1042</v>
      </c>
      <c r="B972" s="1">
        <v>45104</v>
      </c>
      <c r="C972" t="s">
        <v>10</v>
      </c>
      <c r="D972" t="s">
        <v>11</v>
      </c>
      <c r="E972" t="s">
        <v>137</v>
      </c>
      <c r="F972">
        <v>7</v>
      </c>
      <c r="G972">
        <v>3692</v>
      </c>
      <c r="H972">
        <v>25844</v>
      </c>
      <c r="I972">
        <v>9554</v>
      </c>
      <c r="J972" t="s">
        <v>22</v>
      </c>
    </row>
    <row r="973" spans="1:10" x14ac:dyDescent="0.35">
      <c r="A973" t="s">
        <v>1043</v>
      </c>
      <c r="B973" s="1">
        <v>45163</v>
      </c>
      <c r="C973" t="s">
        <v>24</v>
      </c>
      <c r="D973" t="s">
        <v>15</v>
      </c>
      <c r="E973" t="s">
        <v>48</v>
      </c>
      <c r="F973">
        <v>10</v>
      </c>
      <c r="G973">
        <v>1602</v>
      </c>
      <c r="H973">
        <v>16020</v>
      </c>
      <c r="I973">
        <v>3570</v>
      </c>
      <c r="J973" t="s">
        <v>17</v>
      </c>
    </row>
    <row r="974" spans="1:10" x14ac:dyDescent="0.35">
      <c r="A974" t="s">
        <v>1044</v>
      </c>
      <c r="B974" s="1">
        <v>45261</v>
      </c>
      <c r="C974" t="s">
        <v>24</v>
      </c>
      <c r="D974" t="s">
        <v>20</v>
      </c>
      <c r="E974" t="s">
        <v>51</v>
      </c>
      <c r="F974">
        <v>3</v>
      </c>
      <c r="G974">
        <v>4836</v>
      </c>
      <c r="H974">
        <v>14508</v>
      </c>
      <c r="I974">
        <v>5297</v>
      </c>
      <c r="J974" t="s">
        <v>17</v>
      </c>
    </row>
    <row r="975" spans="1:10" x14ac:dyDescent="0.35">
      <c r="A975" t="s">
        <v>1045</v>
      </c>
      <c r="B975" s="1">
        <v>44989</v>
      </c>
      <c r="C975" t="s">
        <v>19</v>
      </c>
      <c r="D975" t="s">
        <v>15</v>
      </c>
      <c r="E975" t="s">
        <v>64</v>
      </c>
      <c r="F975">
        <v>6</v>
      </c>
      <c r="G975">
        <v>2265</v>
      </c>
      <c r="H975">
        <v>13590</v>
      </c>
      <c r="I975">
        <v>4778</v>
      </c>
      <c r="J975" t="s">
        <v>13</v>
      </c>
    </row>
    <row r="976" spans="1:10" x14ac:dyDescent="0.35">
      <c r="A976" t="s">
        <v>1046</v>
      </c>
      <c r="B976" s="1">
        <v>45211</v>
      </c>
      <c r="C976" t="s">
        <v>30</v>
      </c>
      <c r="D976" t="s">
        <v>20</v>
      </c>
      <c r="E976" t="s">
        <v>208</v>
      </c>
      <c r="F976">
        <v>7</v>
      </c>
      <c r="G976">
        <v>1035</v>
      </c>
      <c r="H976">
        <v>7245</v>
      </c>
      <c r="I976">
        <v>930</v>
      </c>
      <c r="J976" t="s">
        <v>13</v>
      </c>
    </row>
    <row r="977" spans="1:10" x14ac:dyDescent="0.35">
      <c r="A977" t="s">
        <v>1047</v>
      </c>
      <c r="B977" s="1">
        <v>45131</v>
      </c>
      <c r="C977" t="s">
        <v>19</v>
      </c>
      <c r="D977" t="s">
        <v>11</v>
      </c>
      <c r="E977" t="s">
        <v>48</v>
      </c>
      <c r="F977">
        <v>6</v>
      </c>
      <c r="G977">
        <v>2411</v>
      </c>
      <c r="H977">
        <v>14466</v>
      </c>
      <c r="I977">
        <v>3665</v>
      </c>
      <c r="J977" t="s">
        <v>17</v>
      </c>
    </row>
    <row r="978" spans="1:10" x14ac:dyDescent="0.35">
      <c r="A978" t="s">
        <v>1048</v>
      </c>
      <c r="B978" s="1">
        <v>44970</v>
      </c>
      <c r="C978" t="s">
        <v>30</v>
      </c>
      <c r="D978" t="s">
        <v>20</v>
      </c>
      <c r="E978" t="s">
        <v>92</v>
      </c>
      <c r="F978">
        <v>8</v>
      </c>
      <c r="G978">
        <v>2012</v>
      </c>
      <c r="H978">
        <v>16096</v>
      </c>
      <c r="I978">
        <v>3622</v>
      </c>
      <c r="J978" t="s">
        <v>13</v>
      </c>
    </row>
    <row r="979" spans="1:10" x14ac:dyDescent="0.35">
      <c r="A979" t="s">
        <v>1049</v>
      </c>
      <c r="B979" s="1">
        <v>45039</v>
      </c>
      <c r="C979" t="s">
        <v>10</v>
      </c>
      <c r="D979" t="s">
        <v>11</v>
      </c>
      <c r="E979" t="s">
        <v>89</v>
      </c>
      <c r="F979">
        <v>10</v>
      </c>
      <c r="G979">
        <v>2802</v>
      </c>
      <c r="H979">
        <v>28020</v>
      </c>
      <c r="I979">
        <v>3482</v>
      </c>
      <c r="J979" t="s">
        <v>17</v>
      </c>
    </row>
    <row r="980" spans="1:10" x14ac:dyDescent="0.35">
      <c r="A980" t="s">
        <v>1050</v>
      </c>
      <c r="B980" s="1">
        <v>45058</v>
      </c>
      <c r="C980" t="s">
        <v>19</v>
      </c>
      <c r="D980" t="s">
        <v>25</v>
      </c>
      <c r="E980" t="s">
        <v>179</v>
      </c>
      <c r="F980">
        <v>1</v>
      </c>
      <c r="G980">
        <v>1789</v>
      </c>
      <c r="H980">
        <v>1789</v>
      </c>
      <c r="I980">
        <v>452</v>
      </c>
      <c r="J980" t="s">
        <v>22</v>
      </c>
    </row>
    <row r="981" spans="1:10" x14ac:dyDescent="0.35">
      <c r="A981" t="s">
        <v>1051</v>
      </c>
      <c r="B981" s="1">
        <v>45037</v>
      </c>
      <c r="C981" t="s">
        <v>30</v>
      </c>
      <c r="D981" t="s">
        <v>40</v>
      </c>
      <c r="E981" t="s">
        <v>137</v>
      </c>
      <c r="F981">
        <v>9</v>
      </c>
      <c r="G981">
        <v>3288</v>
      </c>
      <c r="H981">
        <v>29592</v>
      </c>
      <c r="I981">
        <v>9190</v>
      </c>
      <c r="J981" t="s">
        <v>17</v>
      </c>
    </row>
    <row r="982" spans="1:10" x14ac:dyDescent="0.35">
      <c r="A982" t="s">
        <v>1052</v>
      </c>
      <c r="B982" s="1">
        <v>44989</v>
      </c>
      <c r="C982" t="s">
        <v>10</v>
      </c>
      <c r="D982" t="s">
        <v>11</v>
      </c>
      <c r="E982" t="s">
        <v>51</v>
      </c>
      <c r="F982">
        <v>7</v>
      </c>
      <c r="G982">
        <v>2205</v>
      </c>
      <c r="H982">
        <v>15435</v>
      </c>
      <c r="I982">
        <v>5723</v>
      </c>
      <c r="J982" t="s">
        <v>22</v>
      </c>
    </row>
    <row r="983" spans="1:10" x14ac:dyDescent="0.35">
      <c r="A983" t="s">
        <v>1053</v>
      </c>
      <c r="B983" s="1">
        <v>45076</v>
      </c>
      <c r="C983" t="s">
        <v>10</v>
      </c>
      <c r="D983" t="s">
        <v>15</v>
      </c>
      <c r="E983" t="s">
        <v>208</v>
      </c>
      <c r="F983">
        <v>1</v>
      </c>
      <c r="G983">
        <v>2231</v>
      </c>
      <c r="H983">
        <v>2231</v>
      </c>
      <c r="I983">
        <v>722</v>
      </c>
      <c r="J983" t="s">
        <v>17</v>
      </c>
    </row>
    <row r="984" spans="1:10" x14ac:dyDescent="0.35">
      <c r="A984" t="s">
        <v>1054</v>
      </c>
      <c r="B984" s="1">
        <v>44933</v>
      </c>
      <c r="C984" t="s">
        <v>30</v>
      </c>
      <c r="D984" t="s">
        <v>15</v>
      </c>
      <c r="E984" t="s">
        <v>126</v>
      </c>
      <c r="F984">
        <v>5</v>
      </c>
      <c r="G984">
        <v>1597</v>
      </c>
      <c r="H984">
        <v>7985</v>
      </c>
      <c r="I984">
        <v>2575</v>
      </c>
      <c r="J984" t="s">
        <v>13</v>
      </c>
    </row>
    <row r="985" spans="1:10" x14ac:dyDescent="0.35">
      <c r="A985" t="s">
        <v>1055</v>
      </c>
      <c r="B985" s="1">
        <v>44977</v>
      </c>
      <c r="C985" t="s">
        <v>24</v>
      </c>
      <c r="D985" t="s">
        <v>40</v>
      </c>
      <c r="E985" t="s">
        <v>123</v>
      </c>
      <c r="F985">
        <v>10</v>
      </c>
      <c r="G985">
        <v>2855</v>
      </c>
      <c r="H985">
        <v>28550</v>
      </c>
      <c r="I985">
        <v>11254</v>
      </c>
      <c r="J985" t="s">
        <v>22</v>
      </c>
    </row>
    <row r="986" spans="1:10" x14ac:dyDescent="0.35">
      <c r="A986" t="s">
        <v>1056</v>
      </c>
      <c r="B986" s="1">
        <v>45212</v>
      </c>
      <c r="C986" t="s">
        <v>30</v>
      </c>
      <c r="D986" t="s">
        <v>25</v>
      </c>
      <c r="E986" t="s">
        <v>218</v>
      </c>
      <c r="F986">
        <v>3</v>
      </c>
      <c r="G986">
        <v>1015</v>
      </c>
      <c r="H986">
        <v>3045</v>
      </c>
      <c r="I986">
        <v>887</v>
      </c>
      <c r="J986" t="s">
        <v>22</v>
      </c>
    </row>
    <row r="987" spans="1:10" x14ac:dyDescent="0.35">
      <c r="A987" t="s">
        <v>1057</v>
      </c>
      <c r="B987" s="1">
        <v>44975</v>
      </c>
      <c r="C987" t="s">
        <v>10</v>
      </c>
      <c r="D987" t="s">
        <v>40</v>
      </c>
      <c r="E987" t="s">
        <v>118</v>
      </c>
      <c r="F987">
        <v>2</v>
      </c>
      <c r="G987">
        <v>2756</v>
      </c>
      <c r="H987">
        <v>5512</v>
      </c>
      <c r="I987">
        <v>1704</v>
      </c>
      <c r="J987" t="s">
        <v>17</v>
      </c>
    </row>
    <row r="988" spans="1:10" x14ac:dyDescent="0.35">
      <c r="A988" t="s">
        <v>1058</v>
      </c>
      <c r="B988" s="1">
        <v>44942</v>
      </c>
      <c r="C988" t="s">
        <v>19</v>
      </c>
      <c r="D988" t="s">
        <v>15</v>
      </c>
      <c r="E988" t="s">
        <v>153</v>
      </c>
      <c r="F988">
        <v>10</v>
      </c>
      <c r="G988">
        <v>2973</v>
      </c>
      <c r="H988">
        <v>29730</v>
      </c>
      <c r="I988">
        <v>9555</v>
      </c>
      <c r="J988" t="s">
        <v>17</v>
      </c>
    </row>
    <row r="989" spans="1:10" x14ac:dyDescent="0.35">
      <c r="A989" t="s">
        <v>1059</v>
      </c>
      <c r="B989" s="1">
        <v>45245</v>
      </c>
      <c r="C989" t="s">
        <v>24</v>
      </c>
      <c r="D989" t="s">
        <v>20</v>
      </c>
      <c r="E989" t="s">
        <v>51</v>
      </c>
      <c r="F989">
        <v>4</v>
      </c>
      <c r="G989">
        <v>1858</v>
      </c>
      <c r="H989">
        <v>7432</v>
      </c>
      <c r="I989">
        <v>1305</v>
      </c>
      <c r="J989" t="s">
        <v>22</v>
      </c>
    </row>
    <row r="990" spans="1:10" x14ac:dyDescent="0.35">
      <c r="A990" t="s">
        <v>1060</v>
      </c>
      <c r="B990" s="1">
        <v>44998</v>
      </c>
      <c r="C990" t="s">
        <v>10</v>
      </c>
      <c r="D990" t="s">
        <v>11</v>
      </c>
      <c r="E990" t="s">
        <v>64</v>
      </c>
      <c r="F990">
        <v>2</v>
      </c>
      <c r="G990">
        <v>1342</v>
      </c>
      <c r="H990">
        <v>2684</v>
      </c>
      <c r="I990">
        <v>622</v>
      </c>
      <c r="J990" t="s">
        <v>17</v>
      </c>
    </row>
    <row r="991" spans="1:10" x14ac:dyDescent="0.35">
      <c r="A991" t="s">
        <v>1061</v>
      </c>
      <c r="B991" s="1">
        <v>45251</v>
      </c>
      <c r="C991" t="s">
        <v>30</v>
      </c>
      <c r="D991" t="s">
        <v>11</v>
      </c>
      <c r="E991" t="s">
        <v>60</v>
      </c>
      <c r="F991">
        <v>8</v>
      </c>
      <c r="G991">
        <v>2357</v>
      </c>
      <c r="H991">
        <v>18856</v>
      </c>
      <c r="I991">
        <v>2437</v>
      </c>
      <c r="J991" t="s">
        <v>17</v>
      </c>
    </row>
    <row r="992" spans="1:10" x14ac:dyDescent="0.35">
      <c r="A992" t="s">
        <v>1062</v>
      </c>
      <c r="B992" s="1">
        <v>45241</v>
      </c>
      <c r="C992" t="s">
        <v>24</v>
      </c>
      <c r="D992" t="s">
        <v>15</v>
      </c>
      <c r="E992" t="s">
        <v>51</v>
      </c>
      <c r="F992">
        <v>6</v>
      </c>
      <c r="G992">
        <v>3288</v>
      </c>
      <c r="H992">
        <v>19728</v>
      </c>
      <c r="I992">
        <v>7196</v>
      </c>
      <c r="J992" t="s">
        <v>22</v>
      </c>
    </row>
    <row r="993" spans="1:10" x14ac:dyDescent="0.35">
      <c r="A993" t="s">
        <v>1063</v>
      </c>
      <c r="B993" s="1">
        <v>45062</v>
      </c>
      <c r="C993" t="s">
        <v>10</v>
      </c>
      <c r="D993" t="s">
        <v>40</v>
      </c>
      <c r="E993" t="s">
        <v>89</v>
      </c>
      <c r="F993">
        <v>3</v>
      </c>
      <c r="G993">
        <v>1130</v>
      </c>
      <c r="H993">
        <v>3390</v>
      </c>
      <c r="I993">
        <v>647</v>
      </c>
      <c r="J993" t="s">
        <v>17</v>
      </c>
    </row>
    <row r="994" spans="1:10" x14ac:dyDescent="0.35">
      <c r="A994" t="s">
        <v>1064</v>
      </c>
      <c r="B994" s="1">
        <v>45161</v>
      </c>
      <c r="C994" t="s">
        <v>19</v>
      </c>
      <c r="D994" t="s">
        <v>40</v>
      </c>
      <c r="E994" t="s">
        <v>51</v>
      </c>
      <c r="F994">
        <v>2</v>
      </c>
      <c r="G994">
        <v>1404</v>
      </c>
      <c r="H994">
        <v>2808</v>
      </c>
      <c r="I994">
        <v>633</v>
      </c>
      <c r="J994" t="s">
        <v>32</v>
      </c>
    </row>
    <row r="995" spans="1:10" x14ac:dyDescent="0.35">
      <c r="A995" t="s">
        <v>1065</v>
      </c>
      <c r="B995" s="1">
        <v>45193</v>
      </c>
      <c r="C995" t="s">
        <v>24</v>
      </c>
      <c r="D995" t="s">
        <v>20</v>
      </c>
      <c r="E995" t="s">
        <v>216</v>
      </c>
      <c r="F995">
        <v>6</v>
      </c>
      <c r="G995">
        <v>4708</v>
      </c>
      <c r="H995">
        <v>28248</v>
      </c>
      <c r="I995">
        <v>7465</v>
      </c>
      <c r="J995" t="s">
        <v>22</v>
      </c>
    </row>
    <row r="996" spans="1:10" x14ac:dyDescent="0.35">
      <c r="A996" t="s">
        <v>1066</v>
      </c>
      <c r="B996" s="1">
        <v>45031</v>
      </c>
      <c r="C996" t="s">
        <v>30</v>
      </c>
      <c r="D996" t="s">
        <v>11</v>
      </c>
      <c r="E996" t="s">
        <v>71</v>
      </c>
      <c r="F996">
        <v>10</v>
      </c>
      <c r="G996">
        <v>4289</v>
      </c>
      <c r="H996">
        <v>42890</v>
      </c>
      <c r="I996">
        <v>8183</v>
      </c>
      <c r="J996" t="s">
        <v>17</v>
      </c>
    </row>
    <row r="997" spans="1:10" x14ac:dyDescent="0.35">
      <c r="A997" t="s">
        <v>1067</v>
      </c>
      <c r="B997" s="1">
        <v>45018</v>
      </c>
      <c r="C997" t="s">
        <v>24</v>
      </c>
      <c r="D997" t="s">
        <v>40</v>
      </c>
      <c r="E997" t="s">
        <v>216</v>
      </c>
      <c r="F997">
        <v>9</v>
      </c>
      <c r="G997">
        <v>3217</v>
      </c>
      <c r="H997">
        <v>28953</v>
      </c>
      <c r="I997">
        <v>7100</v>
      </c>
      <c r="J997" t="s">
        <v>32</v>
      </c>
    </row>
    <row r="998" spans="1:10" x14ac:dyDescent="0.35">
      <c r="A998" t="s">
        <v>1068</v>
      </c>
      <c r="B998" s="1">
        <v>45232</v>
      </c>
      <c r="C998" t="s">
        <v>24</v>
      </c>
      <c r="D998" t="s">
        <v>40</v>
      </c>
      <c r="E998" t="s">
        <v>53</v>
      </c>
      <c r="F998">
        <v>5</v>
      </c>
      <c r="G998">
        <v>1203</v>
      </c>
      <c r="H998">
        <v>6015</v>
      </c>
      <c r="I998">
        <v>1718</v>
      </c>
      <c r="J998" t="s">
        <v>32</v>
      </c>
    </row>
    <row r="999" spans="1:10" x14ac:dyDescent="0.35">
      <c r="A999" t="s">
        <v>1069</v>
      </c>
      <c r="B999" s="1">
        <v>45172</v>
      </c>
      <c r="C999" t="s">
        <v>19</v>
      </c>
      <c r="D999" t="s">
        <v>11</v>
      </c>
      <c r="E999" t="s">
        <v>211</v>
      </c>
      <c r="F999">
        <v>1</v>
      </c>
      <c r="G999">
        <v>2928</v>
      </c>
      <c r="H999">
        <v>2928</v>
      </c>
      <c r="I999">
        <v>869</v>
      </c>
      <c r="J999" t="s">
        <v>13</v>
      </c>
    </row>
    <row r="1000" spans="1:10" x14ac:dyDescent="0.35">
      <c r="A1000" t="s">
        <v>1070</v>
      </c>
      <c r="B1000" s="1">
        <v>44980</v>
      </c>
      <c r="C1000" t="s">
        <v>19</v>
      </c>
      <c r="D1000" t="s">
        <v>15</v>
      </c>
      <c r="E1000" t="s">
        <v>55</v>
      </c>
      <c r="F1000">
        <v>9</v>
      </c>
      <c r="G1000">
        <v>3408</v>
      </c>
      <c r="H1000">
        <v>30672</v>
      </c>
      <c r="I1000">
        <v>4374</v>
      </c>
      <c r="J1000" t="s">
        <v>17</v>
      </c>
    </row>
    <row r="1001" spans="1:10" x14ac:dyDescent="0.35">
      <c r="A1001" t="s">
        <v>1071</v>
      </c>
      <c r="B1001" s="1">
        <v>45088</v>
      </c>
      <c r="C1001" t="s">
        <v>24</v>
      </c>
      <c r="D1001" t="s">
        <v>11</v>
      </c>
      <c r="E1001" t="s">
        <v>34</v>
      </c>
      <c r="F1001">
        <v>10</v>
      </c>
      <c r="G1001">
        <v>1027</v>
      </c>
      <c r="H1001">
        <v>10270</v>
      </c>
      <c r="I1001">
        <v>1735</v>
      </c>
      <c r="J1001" t="s">
        <v>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ecommerce sales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SANJU</dc:creator>
  <cp:lastModifiedBy>Sumalatha Mothukuru</cp:lastModifiedBy>
  <dcterms:created xsi:type="dcterms:W3CDTF">2026-03-03T04:58:19Z</dcterms:created>
  <dcterms:modified xsi:type="dcterms:W3CDTF">2026-03-04T19:15:44Z</dcterms:modified>
</cp:coreProperties>
</file>