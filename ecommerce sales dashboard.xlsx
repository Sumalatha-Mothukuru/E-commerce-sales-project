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ANJU\Desktop\"/>
    </mc:Choice>
  </mc:AlternateContent>
  <xr:revisionPtr revIDLastSave="0" documentId="8_{21BD90D0-84F4-4298-84F0-4896AA5A8930}" xr6:coauthVersionLast="47" xr6:coauthVersionMax="47" xr10:uidLastSave="{00000000-0000-0000-0000-000000000000}"/>
  <bookViews>
    <workbookView xWindow="-110" yWindow="-110" windowWidth="19420" windowHeight="10300" xr2:uid="{4513272A-D878-421D-98E9-3AAEFE94B822}"/>
  </bookViews>
  <sheets>
    <sheet name="Dashboard" sheetId="4" r:id="rId1"/>
    <sheet name="Pivot" sheetId="5" r:id="rId2"/>
    <sheet name="Matrix-order mode gender" sheetId="8" r:id="rId3"/>
    <sheet name="Data" sheetId="1" r:id="rId4"/>
  </sheets>
  <definedNames>
    <definedName name="_xlchart.v5.0" hidden="1">Pivot!$F$81:$G$81</definedName>
    <definedName name="_xlchart.v5.1" hidden="1">Pivot!$F$82:$G$139</definedName>
    <definedName name="_xlchart.v5.2" hidden="1">Pivot!$H$80:$H$81</definedName>
    <definedName name="_xlchart.v5.3" hidden="1">Pivot!$H$81</definedName>
    <definedName name="_xlchart.v5.4" hidden="1">Pivot!$H$82:$H$139</definedName>
    <definedName name="_xlchart.v5.5" hidden="1">Pivot!$J$81:$K$81</definedName>
    <definedName name="_xlchart.v5.6" hidden="1">Pivot!$J$82:$K$139</definedName>
    <definedName name="_xlchart.v5.7" hidden="1">Pivot!$L$81</definedName>
    <definedName name="_xlchart.v5.8" hidden="1">Pivot!$L$82:$L$139</definedName>
    <definedName name="Slicer_Gender_Value">#N/A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3" i="5" l="1"/>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K82" i="5"/>
  <c r="J82" i="5"/>
  <c r="G82" i="5"/>
  <c r="F82" i="5"/>
  <c r="G83" i="5"/>
  <c r="H83" i="5"/>
  <c r="G84" i="5"/>
  <c r="H84" i="5"/>
  <c r="G85" i="5"/>
  <c r="H85" i="5"/>
  <c r="G86" i="5"/>
  <c r="H86" i="5"/>
  <c r="G87" i="5"/>
  <c r="H87" i="5"/>
  <c r="G88" i="5"/>
  <c r="H88" i="5"/>
  <c r="G89" i="5"/>
  <c r="H89" i="5"/>
  <c r="G90" i="5"/>
  <c r="H90" i="5"/>
  <c r="G91" i="5"/>
  <c r="H91" i="5"/>
  <c r="G92" i="5"/>
  <c r="H92" i="5"/>
  <c r="G93" i="5"/>
  <c r="H93" i="5"/>
  <c r="G94" i="5"/>
  <c r="H94" i="5"/>
  <c r="G95" i="5"/>
  <c r="H95" i="5"/>
  <c r="G96" i="5"/>
  <c r="H96" i="5"/>
  <c r="G97" i="5"/>
  <c r="H97" i="5"/>
  <c r="G98" i="5"/>
  <c r="H98" i="5"/>
  <c r="G99" i="5"/>
  <c r="H99" i="5"/>
  <c r="G100" i="5"/>
  <c r="H100" i="5"/>
  <c r="G101" i="5"/>
  <c r="H101" i="5"/>
  <c r="G102" i="5"/>
  <c r="H102" i="5"/>
  <c r="G103" i="5"/>
  <c r="H103" i="5"/>
  <c r="G104" i="5"/>
  <c r="H104" i="5"/>
  <c r="G105" i="5"/>
  <c r="H105" i="5"/>
  <c r="G106" i="5"/>
  <c r="H106" i="5"/>
  <c r="G107" i="5"/>
  <c r="H107" i="5"/>
  <c r="G108" i="5"/>
  <c r="H108" i="5"/>
  <c r="G109" i="5"/>
  <c r="H109" i="5"/>
  <c r="G110" i="5"/>
  <c r="H110" i="5"/>
  <c r="G111" i="5"/>
  <c r="H111" i="5"/>
  <c r="G112" i="5"/>
  <c r="H112" i="5"/>
  <c r="G113" i="5"/>
  <c r="H113" i="5"/>
  <c r="G114" i="5"/>
  <c r="H114" i="5"/>
  <c r="G115" i="5"/>
  <c r="H115" i="5"/>
  <c r="G116" i="5"/>
  <c r="H116" i="5"/>
  <c r="G117" i="5"/>
  <c r="H117" i="5"/>
  <c r="G118" i="5"/>
  <c r="H118" i="5"/>
  <c r="G119" i="5"/>
  <c r="H119" i="5"/>
  <c r="G120" i="5"/>
  <c r="H120" i="5"/>
  <c r="G121" i="5"/>
  <c r="H121" i="5"/>
  <c r="G122" i="5"/>
  <c r="H122" i="5"/>
  <c r="G123" i="5"/>
  <c r="H123" i="5"/>
  <c r="G124" i="5"/>
  <c r="H124" i="5"/>
  <c r="G125" i="5"/>
  <c r="H125" i="5"/>
  <c r="G126" i="5"/>
  <c r="H126" i="5"/>
  <c r="G127" i="5"/>
  <c r="H127" i="5"/>
  <c r="G128" i="5"/>
  <c r="H128" i="5"/>
  <c r="G129" i="5"/>
  <c r="H129" i="5"/>
  <c r="G130" i="5"/>
  <c r="H130" i="5"/>
  <c r="G131" i="5"/>
  <c r="H131" i="5"/>
  <c r="G132" i="5"/>
  <c r="H132" i="5"/>
  <c r="G133" i="5"/>
  <c r="H133" i="5"/>
  <c r="G134" i="5"/>
  <c r="H134" i="5"/>
  <c r="G135" i="5"/>
  <c r="H135" i="5"/>
  <c r="G136" i="5"/>
  <c r="H136" i="5"/>
  <c r="G137" i="5"/>
  <c r="H137" i="5"/>
  <c r="G138" i="5"/>
  <c r="H138" i="5"/>
  <c r="G139" i="5"/>
  <c r="H139" i="5"/>
  <c r="H82" i="5"/>
  <c r="H81"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G81" i="5"/>
  <c r="F81" i="5"/>
  <c r="H6" i="8"/>
  <c r="H7" i="8"/>
  <c r="H8" i="8"/>
  <c r="H9" i="8"/>
  <c r="J4" i="8"/>
  <c r="K4" i="8"/>
  <c r="L4" i="8"/>
  <c r="I4" i="8"/>
  <c r="I5" i="8"/>
  <c r="J5" i="8"/>
  <c r="K5" i="8"/>
  <c r="L5" i="8"/>
  <c r="I6" i="8"/>
  <c r="J6" i="8"/>
  <c r="K6" i="8"/>
  <c r="L6" i="8"/>
  <c r="I7" i="8"/>
  <c r="J7" i="8"/>
  <c r="K7" i="8"/>
  <c r="L7" i="8"/>
  <c r="I8" i="8"/>
  <c r="J8" i="8"/>
  <c r="K8" i="8"/>
  <c r="L8" i="8"/>
  <c r="I9" i="8"/>
  <c r="J9" i="8"/>
  <c r="K9" i="8"/>
  <c r="L9" i="8"/>
  <c r="H5" i="8"/>
  <c r="L4" i="5"/>
  <c r="K4" i="5"/>
  <c r="J4" i="5"/>
  <c r="I4" i="5"/>
  <c r="H4" i="5"/>
  <c r="O2401" i="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a="1"/>
  <c r="O2361" i="1" s="1"/>
  <c r="N2361" i="1"/>
  <c r="M2361" i="1"/>
  <c r="O2360" i="1"/>
  <c r="O2360" i="1" a="1"/>
  <c r="N2360" i="1"/>
  <c r="M2360" i="1"/>
  <c r="O2359" i="1" a="1"/>
  <c r="O2359" i="1" s="1"/>
  <c r="N2359" i="1"/>
  <c r="M2359" i="1"/>
  <c r="O2358" i="1"/>
  <c r="O2358" i="1" a="1"/>
  <c r="N2358" i="1"/>
  <c r="M2358" i="1"/>
  <c r="O2357" i="1" a="1"/>
  <c r="O2357" i="1" s="1"/>
  <c r="N2357" i="1"/>
  <c r="M2357" i="1"/>
  <c r="O2356" i="1"/>
  <c r="O2356" i="1" a="1"/>
  <c r="N2356" i="1"/>
  <c r="M2356" i="1"/>
  <c r="O2355" i="1" a="1"/>
  <c r="O2355" i="1" s="1"/>
  <c r="N2355" i="1"/>
  <c r="M2355" i="1"/>
  <c r="O2354" i="1"/>
  <c r="O2354" i="1" a="1"/>
  <c r="N2354" i="1"/>
  <c r="M2354" i="1"/>
  <c r="O2353" i="1" a="1"/>
  <c r="O2353" i="1" s="1"/>
  <c r="N2353" i="1"/>
  <c r="M2353" i="1"/>
  <c r="O2352" i="1"/>
  <c r="O2352" i="1" a="1"/>
  <c r="N2352" i="1"/>
  <c r="M2352" i="1"/>
  <c r="O2351" i="1" a="1"/>
  <c r="O2351" i="1" s="1"/>
  <c r="N2351" i="1"/>
  <c r="M2351" i="1"/>
  <c r="O2350" i="1"/>
  <c r="O2350" i="1" a="1"/>
  <c r="N2350" i="1"/>
  <c r="M2350" i="1"/>
  <c r="O2349" i="1" a="1"/>
  <c r="O2349" i="1" s="1"/>
  <c r="N2349" i="1"/>
  <c r="M2349" i="1"/>
  <c r="O2348" i="1"/>
  <c r="O2348" i="1" a="1"/>
  <c r="N2348" i="1"/>
  <c r="M2348" i="1"/>
  <c r="O2347" i="1" a="1"/>
  <c r="O2347" i="1" s="1"/>
  <c r="N2347" i="1"/>
  <c r="M2347" i="1"/>
  <c r="O2346" i="1"/>
  <c r="O2346" i="1" a="1"/>
  <c r="N2346" i="1"/>
  <c r="M2346" i="1"/>
  <c r="O2345" i="1" a="1"/>
  <c r="O2345" i="1" s="1"/>
  <c r="N2345" i="1"/>
  <c r="M2345" i="1"/>
  <c r="O2344" i="1"/>
  <c r="O2344" i="1" a="1"/>
  <c r="N2344" i="1"/>
  <c r="M2344" i="1"/>
  <c r="O2343" i="1" a="1"/>
  <c r="O2343" i="1" s="1"/>
  <c r="N2343" i="1"/>
  <c r="M2343" i="1"/>
  <c r="O2342" i="1"/>
  <c r="O2342" i="1" a="1"/>
  <c r="N2342" i="1"/>
  <c r="M2342" i="1"/>
  <c r="O2341" i="1" a="1"/>
  <c r="O2341" i="1" s="1"/>
  <c r="N2341" i="1"/>
  <c r="M2341" i="1"/>
  <c r="O2340" i="1"/>
  <c r="O2340" i="1" a="1"/>
  <c r="N2340" i="1"/>
  <c r="M2340" i="1"/>
  <c r="O2339" i="1" a="1"/>
  <c r="O2339" i="1" s="1"/>
  <c r="N2339" i="1"/>
  <c r="M2339" i="1"/>
  <c r="O2338" i="1"/>
  <c r="O2338" i="1" a="1"/>
  <c r="N2338" i="1"/>
  <c r="M2338" i="1"/>
  <c r="O2337" i="1" a="1"/>
  <c r="O2337" i="1" s="1"/>
  <c r="N2337" i="1"/>
  <c r="M2337" i="1"/>
  <c r="O2336" i="1"/>
  <c r="O2336" i="1" a="1"/>
  <c r="N2336" i="1"/>
  <c r="M2336" i="1"/>
  <c r="O2335" i="1" a="1"/>
  <c r="O2335" i="1" s="1"/>
  <c r="N2335" i="1"/>
  <c r="M2335" i="1"/>
  <c r="O2334" i="1"/>
  <c r="O2334" i="1" a="1"/>
  <c r="N2334" i="1"/>
  <c r="M2334" i="1"/>
  <c r="O2333" i="1" a="1"/>
  <c r="O2333" i="1" s="1"/>
  <c r="N2333" i="1"/>
  <c r="M2333" i="1"/>
  <c r="O2332" i="1"/>
  <c r="O2332" i="1" a="1"/>
  <c r="N2332" i="1"/>
  <c r="M2332" i="1"/>
  <c r="O2331" i="1" a="1"/>
  <c r="O2331" i="1" s="1"/>
  <c r="N2331" i="1"/>
  <c r="M2331" i="1"/>
  <c r="O2330" i="1" a="1"/>
  <c r="O2330" i="1" s="1"/>
  <c r="N2330" i="1"/>
  <c r="M2330" i="1"/>
  <c r="O2329" i="1" a="1"/>
  <c r="O2329" i="1" s="1"/>
  <c r="N2329" i="1"/>
  <c r="M2329" i="1"/>
  <c r="O2328" i="1"/>
  <c r="O2328" i="1" a="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c r="O2320" i="1" a="1"/>
  <c r="N2320" i="1"/>
  <c r="M2320" i="1"/>
  <c r="O2319" i="1" a="1"/>
  <c r="O2319" i="1" s="1"/>
  <c r="N2319" i="1"/>
  <c r="M2319" i="1"/>
  <c r="O2318" i="1"/>
  <c r="O2318" i="1" a="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c r="O2312" i="1" a="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a="1"/>
  <c r="O2306" i="1" s="1"/>
  <c r="N2306" i="1"/>
  <c r="M2306" i="1"/>
  <c r="O2305" i="1" a="1"/>
  <c r="O2305" i="1" s="1"/>
  <c r="N2305" i="1"/>
  <c r="M2305" i="1"/>
  <c r="O2304" i="1"/>
  <c r="O2304" i="1" a="1"/>
  <c r="N2304" i="1"/>
  <c r="M2304" i="1"/>
  <c r="O2303" i="1" a="1"/>
  <c r="O2303" i="1" s="1"/>
  <c r="N2303" i="1"/>
  <c r="M2303" i="1"/>
  <c r="O2302" i="1"/>
  <c r="O2302" i="1" a="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c r="O2296" i="1" a="1"/>
  <c r="N2296" i="1"/>
  <c r="M2296" i="1"/>
  <c r="O2295" i="1" a="1"/>
  <c r="O2295" i="1" s="1"/>
  <c r="N2295" i="1"/>
  <c r="M2295" i="1"/>
  <c r="O2294" i="1" a="1"/>
  <c r="O2294" i="1" s="1"/>
  <c r="N2294" i="1"/>
  <c r="M2294" i="1"/>
  <c r="O2293" i="1" a="1"/>
  <c r="O2293" i="1" s="1"/>
  <c r="N2293" i="1"/>
  <c r="M2293" i="1"/>
  <c r="O2292" i="1"/>
  <c r="O2292" i="1" a="1"/>
  <c r="N2292" i="1"/>
  <c r="M2292" i="1"/>
  <c r="O2291" i="1" a="1"/>
  <c r="O2291" i="1" s="1"/>
  <c r="N2291" i="1"/>
  <c r="M2291" i="1"/>
  <c r="O2290" i="1" a="1"/>
  <c r="O2290" i="1" s="1"/>
  <c r="N2290" i="1"/>
  <c r="M2290" i="1"/>
  <c r="O2289" i="1" a="1"/>
  <c r="O2289" i="1" s="1"/>
  <c r="N2289" i="1"/>
  <c r="M2289" i="1"/>
  <c r="O2288" i="1"/>
  <c r="O2288" i="1" a="1"/>
  <c r="N2288" i="1"/>
  <c r="M2288" i="1"/>
  <c r="O2287" i="1" a="1"/>
  <c r="O2287" i="1" s="1"/>
  <c r="N2287" i="1"/>
  <c r="M2287" i="1"/>
  <c r="O2286" i="1"/>
  <c r="O2286" i="1" a="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c r="O2280" i="1" a="1"/>
  <c r="N2280" i="1"/>
  <c r="M2280" i="1"/>
  <c r="O2279" i="1" a="1"/>
  <c r="O2279" i="1" s="1"/>
  <c r="N2279" i="1"/>
  <c r="M2279" i="1"/>
  <c r="O2278" i="1" a="1"/>
  <c r="O2278" i="1" s="1"/>
  <c r="N2278" i="1"/>
  <c r="M2278" i="1"/>
  <c r="O2277" i="1" a="1"/>
  <c r="O2277" i="1" s="1"/>
  <c r="N2277" i="1"/>
  <c r="M2277" i="1"/>
  <c r="O2276" i="1"/>
  <c r="O2276" i="1" a="1"/>
  <c r="N2276" i="1"/>
  <c r="M2276" i="1"/>
  <c r="O2275" i="1" a="1"/>
  <c r="O2275" i="1" s="1"/>
  <c r="N2275" i="1"/>
  <c r="M2275" i="1"/>
  <c r="O2274" i="1"/>
  <c r="O2274" i="1" a="1"/>
  <c r="N2274" i="1"/>
  <c r="M2274" i="1"/>
  <c r="O2273" i="1" a="1"/>
  <c r="O2273" i="1" s="1"/>
  <c r="N2273" i="1"/>
  <c r="M2273" i="1"/>
  <c r="O2272" i="1"/>
  <c r="O2272" i="1" a="1"/>
  <c r="N2272" i="1"/>
  <c r="M2272" i="1"/>
  <c r="O2271" i="1" a="1"/>
  <c r="O2271" i="1" s="1"/>
  <c r="N2271" i="1"/>
  <c r="M2271" i="1"/>
  <c r="O2270" i="1"/>
  <c r="O2270" i="1" a="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c r="O2264" i="1" a="1"/>
  <c r="N2264" i="1"/>
  <c r="M2264" i="1"/>
  <c r="O2263" i="1" a="1"/>
  <c r="O2263" i="1" s="1"/>
  <c r="N2263" i="1"/>
  <c r="M2263" i="1"/>
  <c r="O2262" i="1" a="1"/>
  <c r="O2262" i="1" s="1"/>
  <c r="N2262" i="1"/>
  <c r="M2262" i="1"/>
  <c r="O2261" i="1" a="1"/>
  <c r="O2261" i="1" s="1"/>
  <c r="N2261" i="1"/>
  <c r="M2261" i="1"/>
  <c r="O2260" i="1"/>
  <c r="O2260" i="1" a="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a="1"/>
  <c r="O2250" i="1" s="1"/>
  <c r="N2250" i="1"/>
  <c r="M2250" i="1"/>
  <c r="O2249" i="1" a="1"/>
  <c r="O2249" i="1" s="1"/>
  <c r="N2249" i="1"/>
  <c r="M2249" i="1"/>
  <c r="O2248" i="1"/>
  <c r="O2248" i="1" a="1"/>
  <c r="N2248" i="1"/>
  <c r="M2248" i="1"/>
  <c r="O2247" i="1" a="1"/>
  <c r="O2247" i="1" s="1"/>
  <c r="N2247" i="1"/>
  <c r="M2247" i="1"/>
  <c r="O2246" i="1" a="1"/>
  <c r="O2246" i="1" s="1"/>
  <c r="N2246" i="1"/>
  <c r="M2246" i="1"/>
  <c r="O2245" i="1" a="1"/>
  <c r="O2245" i="1" s="1"/>
  <c r="N2245" i="1"/>
  <c r="M2245" i="1"/>
  <c r="O2244" i="1"/>
  <c r="O2244" i="1" a="1"/>
  <c r="N2244" i="1"/>
  <c r="M2244" i="1"/>
  <c r="O2243" i="1" a="1"/>
  <c r="O2243" i="1" s="1"/>
  <c r="N2243" i="1"/>
  <c r="M2243" i="1"/>
  <c r="O2242" i="1"/>
  <c r="O2242" i="1" a="1"/>
  <c r="N2242" i="1"/>
  <c r="M2242" i="1"/>
  <c r="O2241" i="1" a="1"/>
  <c r="O2241" i="1" s="1"/>
  <c r="N2241" i="1"/>
  <c r="M2241" i="1"/>
  <c r="O2240" i="1"/>
  <c r="O2240" i="1" a="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c r="O2228" i="1" a="1"/>
  <c r="N2228" i="1"/>
  <c r="M2228" i="1"/>
  <c r="O2227" i="1" a="1"/>
  <c r="O2227" i="1" s="1"/>
  <c r="N2227" i="1"/>
  <c r="M2227" i="1"/>
  <c r="O2226" i="1"/>
  <c r="O2226" i="1" a="1"/>
  <c r="N2226" i="1"/>
  <c r="M2226" i="1"/>
  <c r="O2225" i="1" a="1"/>
  <c r="O2225" i="1" s="1"/>
  <c r="N2225" i="1"/>
  <c r="M2225" i="1"/>
  <c r="O2224" i="1"/>
  <c r="O2224" i="1" a="1"/>
  <c r="N2224" i="1"/>
  <c r="M2224" i="1"/>
  <c r="O2223" i="1" a="1"/>
  <c r="O2223" i="1" s="1"/>
  <c r="N2223" i="1"/>
  <c r="M2223" i="1"/>
  <c r="O2222" i="1"/>
  <c r="O2222" i="1" a="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c r="O2216" i="1" a="1"/>
  <c r="N2216" i="1"/>
  <c r="M2216" i="1"/>
  <c r="O2215" i="1" a="1"/>
  <c r="O2215" i="1" s="1"/>
  <c r="N2215" i="1"/>
  <c r="M2215" i="1"/>
  <c r="O2214" i="1" a="1"/>
  <c r="O2214" i="1" s="1"/>
  <c r="N2214" i="1"/>
  <c r="M2214" i="1"/>
  <c r="O2213" i="1" a="1"/>
  <c r="O2213" i="1" s="1"/>
  <c r="N2213" i="1"/>
  <c r="M2213" i="1"/>
  <c r="O2212" i="1"/>
  <c r="O2212" i="1" a="1"/>
  <c r="N2212" i="1"/>
  <c r="M2212" i="1"/>
  <c r="O2211" i="1" a="1"/>
  <c r="O2211" i="1" s="1"/>
  <c r="N2211" i="1"/>
  <c r="M2211" i="1"/>
  <c r="O2210" i="1"/>
  <c r="O2210" i="1" a="1"/>
  <c r="N2210" i="1"/>
  <c r="M2210" i="1"/>
  <c r="O2209" i="1" a="1"/>
  <c r="O2209" i="1" s="1"/>
  <c r="N2209" i="1"/>
  <c r="M2209" i="1"/>
  <c r="O2208" i="1"/>
  <c r="O2208" i="1" a="1"/>
  <c r="N2208" i="1"/>
  <c r="M2208" i="1"/>
  <c r="O2207" i="1" a="1"/>
  <c r="O2207" i="1" s="1"/>
  <c r="N2207" i="1"/>
  <c r="M2207" i="1"/>
  <c r="O2206" i="1"/>
  <c r="O2206" i="1" a="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a="1"/>
  <c r="O2199" i="1" s="1"/>
  <c r="N2199" i="1"/>
  <c r="M2199" i="1"/>
  <c r="O2198" i="1" a="1"/>
  <c r="O2198" i="1" s="1"/>
  <c r="N2198" i="1"/>
  <c r="M2198" i="1"/>
  <c r="O2197" i="1" a="1"/>
  <c r="O2197" i="1" s="1"/>
  <c r="N2197" i="1"/>
  <c r="M2197" i="1"/>
  <c r="O2196" i="1"/>
  <c r="O2196" i="1" a="1"/>
  <c r="N2196" i="1"/>
  <c r="M2196" i="1"/>
  <c r="O2195" i="1" a="1"/>
  <c r="O2195" i="1" s="1"/>
  <c r="N2195" i="1"/>
  <c r="M2195" i="1"/>
  <c r="O2194" i="1"/>
  <c r="O2194" i="1" a="1"/>
  <c r="N2194" i="1"/>
  <c r="M2194" i="1"/>
  <c r="O2193" i="1" a="1"/>
  <c r="O2193" i="1" s="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a="1"/>
  <c r="O1262" i="1" s="1"/>
  <c r="N1262" i="1"/>
  <c r="M1262" i="1"/>
  <c r="O1261" i="1"/>
  <c r="O1261" i="1" a="1"/>
  <c r="N1261" i="1"/>
  <c r="M1261" i="1"/>
  <c r="O1260" i="1" a="1"/>
  <c r="O1260" i="1" s="1"/>
  <c r="N1260" i="1"/>
  <c r="M1260" i="1"/>
  <c r="O1259" i="1"/>
  <c r="O1259" i="1" a="1"/>
  <c r="N1259" i="1"/>
  <c r="M1259" i="1"/>
  <c r="O1258" i="1" a="1"/>
  <c r="O1258" i="1" s="1"/>
  <c r="N1258" i="1"/>
  <c r="M1258" i="1"/>
  <c r="O1257" i="1"/>
  <c r="O1257" i="1" a="1"/>
  <c r="N1257" i="1"/>
  <c r="M1257" i="1"/>
  <c r="O1256" i="1" a="1"/>
  <c r="O1256" i="1" s="1"/>
  <c r="N1256" i="1"/>
  <c r="M1256" i="1"/>
  <c r="O1255" i="1"/>
  <c r="O1255" i="1" a="1"/>
  <c r="N1255" i="1"/>
  <c r="M1255" i="1"/>
  <c r="O1254" i="1" a="1"/>
  <c r="O1254" i="1" s="1"/>
  <c r="N1254" i="1"/>
  <c r="M1254" i="1"/>
  <c r="O1253" i="1"/>
  <c r="O1253" i="1" a="1"/>
  <c r="N1253" i="1"/>
  <c r="M1253" i="1"/>
  <c r="O1252" i="1" a="1"/>
  <c r="O1252" i="1" s="1"/>
  <c r="N1252" i="1"/>
  <c r="M1252" i="1"/>
  <c r="O1251" i="1"/>
  <c r="O1251" i="1" a="1"/>
  <c r="N1251" i="1"/>
  <c r="M1251" i="1"/>
  <c r="O1250" i="1" a="1"/>
  <c r="O1250" i="1" s="1"/>
  <c r="N1250" i="1"/>
  <c r="M1250" i="1"/>
  <c r="O1249" i="1"/>
  <c r="O1249" i="1" a="1"/>
  <c r="N1249" i="1"/>
  <c r="M1249" i="1"/>
  <c r="O1248" i="1" a="1"/>
  <c r="O1248" i="1" s="1"/>
  <c r="N1248" i="1"/>
  <c r="M1248" i="1"/>
  <c r="O1247" i="1"/>
  <c r="O1247" i="1" a="1"/>
  <c r="N1247" i="1"/>
  <c r="M1247" i="1"/>
  <c r="O1246" i="1" a="1"/>
  <c r="O1246" i="1" s="1"/>
  <c r="N1246" i="1"/>
  <c r="M1246" i="1"/>
  <c r="O1245" i="1"/>
  <c r="O1245" i="1" a="1"/>
  <c r="N1245" i="1"/>
  <c r="M1245" i="1"/>
  <c r="O1244" i="1" a="1"/>
  <c r="O1244" i="1" s="1"/>
  <c r="N1244" i="1"/>
  <c r="M1244" i="1"/>
  <c r="O1243" i="1"/>
  <c r="O1243" i="1" a="1"/>
  <c r="N1243" i="1"/>
  <c r="M1243" i="1"/>
  <c r="O1242" i="1" a="1"/>
  <c r="O1242" i="1" s="1"/>
  <c r="N1242" i="1"/>
  <c r="M1242" i="1"/>
  <c r="O1241" i="1"/>
  <c r="O1241" i="1" a="1"/>
  <c r="N1241" i="1"/>
  <c r="M1241" i="1"/>
  <c r="O1240" i="1" a="1"/>
  <c r="O1240" i="1" s="1"/>
  <c r="N1240" i="1"/>
  <c r="M1240" i="1"/>
  <c r="O1239" i="1"/>
  <c r="O1239" i="1" a="1"/>
  <c r="N1239" i="1"/>
  <c r="M1239" i="1"/>
  <c r="O1238" i="1" a="1"/>
  <c r="O1238" i="1" s="1"/>
  <c r="N1238" i="1"/>
  <c r="M1238" i="1"/>
  <c r="O1237" i="1"/>
  <c r="O1237" i="1" a="1"/>
  <c r="N1237" i="1"/>
  <c r="M1237" i="1"/>
  <c r="O1236" i="1" a="1"/>
  <c r="O1236" i="1" s="1"/>
  <c r="N1236" i="1"/>
  <c r="M1236" i="1"/>
  <c r="O1235" i="1"/>
  <c r="O1235" i="1" a="1"/>
  <c r="N1235" i="1"/>
  <c r="M1235" i="1"/>
  <c r="O1234" i="1" a="1"/>
  <c r="O1234" i="1" s="1"/>
  <c r="N1234" i="1"/>
  <c r="M1234" i="1"/>
  <c r="O1233" i="1"/>
  <c r="O1233" i="1" a="1"/>
  <c r="N1233" i="1"/>
  <c r="M1233" i="1"/>
  <c r="O1232" i="1" a="1"/>
  <c r="O1232" i="1" s="1"/>
  <c r="N1232" i="1"/>
  <c r="M1232" i="1"/>
  <c r="O1231" i="1"/>
  <c r="O1231" i="1" a="1"/>
  <c r="N1231" i="1"/>
  <c r="M1231" i="1"/>
  <c r="O1230" i="1" a="1"/>
  <c r="O1230" i="1" s="1"/>
  <c r="N1230" i="1"/>
  <c r="M1230" i="1"/>
  <c r="O1229" i="1"/>
  <c r="O1229" i="1" a="1"/>
  <c r="N1229" i="1"/>
  <c r="M1229" i="1"/>
  <c r="O1228" i="1" a="1"/>
  <c r="O1228" i="1" s="1"/>
  <c r="N1228" i="1"/>
  <c r="M1228" i="1"/>
  <c r="O1227" i="1"/>
  <c r="O1227" i="1" a="1"/>
  <c r="N1227" i="1"/>
  <c r="M1227" i="1"/>
  <c r="O1226" i="1" a="1"/>
  <c r="O1226" i="1" s="1"/>
  <c r="N1226" i="1"/>
  <c r="M1226" i="1"/>
  <c r="O1225" i="1"/>
  <c r="O1225" i="1" a="1"/>
  <c r="N1225" i="1"/>
  <c r="M1225" i="1"/>
  <c r="O1224" i="1" a="1"/>
  <c r="O1224" i="1" s="1"/>
  <c r="N1224" i="1"/>
  <c r="M1224" i="1"/>
  <c r="O1223" i="1"/>
  <c r="O1223" i="1" a="1"/>
  <c r="N1223" i="1"/>
  <c r="M1223" i="1"/>
  <c r="O1222" i="1" a="1"/>
  <c r="O1222" i="1" s="1"/>
  <c r="N1222" i="1"/>
  <c r="M1222" i="1"/>
  <c r="O1221" i="1"/>
  <c r="O1221" i="1" a="1"/>
  <c r="N1221" i="1"/>
  <c r="M1221" i="1"/>
  <c r="O1220" i="1" a="1"/>
  <c r="O1220" i="1" s="1"/>
  <c r="N1220" i="1"/>
  <c r="M1220" i="1"/>
  <c r="O1219" i="1"/>
  <c r="O1219" i="1" a="1"/>
  <c r="N1219" i="1"/>
  <c r="M1219" i="1"/>
  <c r="O1218" i="1" a="1"/>
  <c r="O1218" i="1" s="1"/>
  <c r="N1218" i="1"/>
  <c r="M1218" i="1"/>
  <c r="O1217" i="1"/>
  <c r="O1217" i="1" a="1"/>
  <c r="N1217" i="1"/>
  <c r="M1217" i="1"/>
  <c r="O1216" i="1" a="1"/>
  <c r="O1216" i="1" s="1"/>
  <c r="N1216" i="1"/>
  <c r="M1216" i="1"/>
  <c r="O1215" i="1"/>
  <c r="O1215" i="1" a="1"/>
  <c r="N1215" i="1"/>
  <c r="M1215" i="1"/>
  <c r="O1214" i="1" a="1"/>
  <c r="O1214" i="1" s="1"/>
  <c r="N1214" i="1"/>
  <c r="M1214" i="1"/>
  <c r="O1213" i="1"/>
  <c r="O1213" i="1" a="1"/>
  <c r="N1213" i="1"/>
  <c r="M1213" i="1"/>
  <c r="O1212" i="1" a="1"/>
  <c r="O1212" i="1" s="1"/>
  <c r="N1212" i="1"/>
  <c r="M1212" i="1"/>
  <c r="O1211" i="1"/>
  <c r="O1211" i="1" a="1"/>
  <c r="N1211" i="1"/>
  <c r="M1211" i="1"/>
  <c r="O1210" i="1" a="1"/>
  <c r="O1210" i="1" s="1"/>
  <c r="N1210" i="1"/>
  <c r="M1210" i="1"/>
  <c r="O1209" i="1"/>
  <c r="O1209" i="1" a="1"/>
  <c r="N1209" i="1"/>
  <c r="M1209" i="1"/>
  <c r="O1208" i="1" a="1"/>
  <c r="O1208" i="1" s="1"/>
  <c r="N1208" i="1"/>
  <c r="M1208" i="1"/>
  <c r="O1207" i="1"/>
  <c r="O1207" i="1" a="1"/>
  <c r="N1207" i="1"/>
  <c r="M1207" i="1"/>
  <c r="O1206" i="1" a="1"/>
  <c r="O1206" i="1" s="1"/>
  <c r="N1206" i="1"/>
  <c r="M1206" i="1"/>
  <c r="O1205" i="1"/>
  <c r="O1205" i="1" a="1"/>
  <c r="N1205" i="1"/>
  <c r="M1205" i="1"/>
  <c r="O1204" i="1" a="1"/>
  <c r="O1204" i="1" s="1"/>
  <c r="N1204" i="1"/>
  <c r="M1204" i="1"/>
  <c r="O1203" i="1"/>
  <c r="O1203" i="1" a="1"/>
  <c r="N1203" i="1"/>
  <c r="M1203" i="1"/>
  <c r="O1202" i="1" a="1"/>
  <c r="O1202" i="1" s="1"/>
  <c r="N1202" i="1"/>
  <c r="M1202" i="1"/>
  <c r="O1201" i="1"/>
  <c r="O1201" i="1" a="1"/>
  <c r="N1201" i="1"/>
  <c r="M1201" i="1"/>
  <c r="O1200" i="1" a="1"/>
  <c r="O1200" i="1" s="1"/>
  <c r="N1200" i="1"/>
  <c r="M1200" i="1"/>
  <c r="O1199" i="1"/>
  <c r="O1199" i="1" a="1"/>
  <c r="N1199" i="1"/>
  <c r="M1199" i="1"/>
  <c r="O1198" i="1" a="1"/>
  <c r="O1198" i="1" s="1"/>
  <c r="N1198" i="1"/>
  <c r="M1198" i="1"/>
  <c r="O1197" i="1"/>
  <c r="O1197" i="1" a="1"/>
  <c r="N1197" i="1"/>
  <c r="M1197" i="1"/>
  <c r="O1196" i="1" a="1"/>
  <c r="O1196" i="1" s="1"/>
  <c r="N1196" i="1"/>
  <c r="M1196" i="1"/>
  <c r="O1195" i="1"/>
  <c r="O1195" i="1" a="1"/>
  <c r="N1195" i="1"/>
  <c r="M1195" i="1"/>
  <c r="O1194" i="1" a="1"/>
  <c r="O1194" i="1" s="1"/>
  <c r="N1194" i="1"/>
  <c r="M1194" i="1"/>
  <c r="O1193" i="1"/>
  <c r="O1193" i="1" a="1"/>
  <c r="N1193" i="1"/>
  <c r="M1193" i="1"/>
  <c r="O1192" i="1" a="1"/>
  <c r="O1192" i="1" s="1"/>
  <c r="N1192" i="1"/>
  <c r="M1192" i="1"/>
  <c r="O1191" i="1"/>
  <c r="O1191" i="1" a="1"/>
  <c r="N1191" i="1"/>
  <c r="M1191" i="1"/>
  <c r="O1190" i="1" a="1"/>
  <c r="O1190" i="1" s="1"/>
  <c r="N1190" i="1"/>
  <c r="M1190" i="1"/>
  <c r="O1189" i="1"/>
  <c r="O1189" i="1" a="1"/>
  <c r="N1189" i="1"/>
  <c r="M1189" i="1"/>
  <c r="O1188" i="1" a="1"/>
  <c r="O1188" i="1" s="1"/>
  <c r="N1188" i="1"/>
  <c r="M1188" i="1"/>
  <c r="O1187" i="1"/>
  <c r="O1187" i="1" a="1"/>
  <c r="N1187" i="1"/>
  <c r="M1187" i="1"/>
  <c r="O1186" i="1" a="1"/>
  <c r="O1186" i="1" s="1"/>
  <c r="N1186" i="1"/>
  <c r="M1186" i="1"/>
  <c r="O1185" i="1"/>
  <c r="O1185" i="1" a="1"/>
  <c r="N1185" i="1"/>
  <c r="M1185" i="1"/>
  <c r="O1184" i="1" a="1"/>
  <c r="O1184" i="1" s="1"/>
  <c r="N1184" i="1"/>
  <c r="M1184" i="1"/>
  <c r="O1183" i="1"/>
  <c r="O1183" i="1" a="1"/>
  <c r="N1183" i="1"/>
  <c r="M1183" i="1"/>
  <c r="O1182" i="1" a="1"/>
  <c r="O1182" i="1" s="1"/>
  <c r="N1182" i="1"/>
  <c r="M1182" i="1"/>
  <c r="O1181" i="1"/>
  <c r="O1181" i="1" a="1"/>
  <c r="N1181" i="1"/>
  <c r="M1181" i="1"/>
  <c r="O1180" i="1" a="1"/>
  <c r="O1180" i="1" s="1"/>
  <c r="N1180" i="1"/>
  <c r="M1180" i="1"/>
  <c r="O1179" i="1"/>
  <c r="O1179" i="1" a="1"/>
  <c r="N1179" i="1"/>
  <c r="M1179" i="1"/>
  <c r="O1178" i="1" a="1"/>
  <c r="O1178" i="1" s="1"/>
  <c r="N1178" i="1"/>
  <c r="M1178" i="1"/>
  <c r="O1177" i="1"/>
  <c r="O1177" i="1" a="1"/>
  <c r="N1177" i="1"/>
  <c r="M1177" i="1"/>
  <c r="O1176" i="1" a="1"/>
  <c r="O1176" i="1" s="1"/>
  <c r="N1176" i="1"/>
  <c r="M1176" i="1"/>
  <c r="O1175" i="1"/>
  <c r="O1175" i="1" a="1"/>
  <c r="N1175" i="1"/>
  <c r="M1175" i="1"/>
  <c r="O1174" i="1" a="1"/>
  <c r="O1174" i="1" s="1"/>
  <c r="N1174" i="1"/>
  <c r="M1174" i="1"/>
  <c r="O1173" i="1"/>
  <c r="O1173" i="1" a="1"/>
  <c r="N1173" i="1"/>
  <c r="M1173" i="1"/>
  <c r="O1172" i="1" a="1"/>
  <c r="O1172" i="1" s="1"/>
  <c r="N1172" i="1"/>
  <c r="M1172" i="1"/>
  <c r="O1171" i="1"/>
  <c r="O1171" i="1" a="1"/>
  <c r="N1171" i="1"/>
  <c r="M1171" i="1"/>
  <c r="O1170" i="1" a="1"/>
  <c r="O1170" i="1" s="1"/>
  <c r="N1170" i="1"/>
  <c r="M1170" i="1"/>
  <c r="O1169" i="1"/>
  <c r="O1169" i="1" a="1"/>
  <c r="N1169" i="1"/>
  <c r="M1169" i="1"/>
  <c r="O1168" i="1" a="1"/>
  <c r="O1168" i="1" s="1"/>
  <c r="N1168" i="1"/>
  <c r="M1168" i="1"/>
  <c r="O1167" i="1"/>
  <c r="O1167" i="1" a="1"/>
  <c r="N1167" i="1"/>
  <c r="M1167" i="1"/>
  <c r="O1166" i="1" a="1"/>
  <c r="O1166" i="1" s="1"/>
  <c r="N1166" i="1"/>
  <c r="M1166" i="1"/>
  <c r="O1165" i="1"/>
  <c r="O1165" i="1" a="1"/>
  <c r="N1165" i="1"/>
  <c r="M1165" i="1"/>
  <c r="O1164" i="1" a="1"/>
  <c r="O1164" i="1" s="1"/>
  <c r="N1164" i="1"/>
  <c r="M1164" i="1"/>
  <c r="O1163" i="1"/>
  <c r="O1163" i="1" a="1"/>
  <c r="N1163" i="1"/>
  <c r="M1163" i="1"/>
  <c r="O1162" i="1" a="1"/>
  <c r="O1162" i="1" s="1"/>
  <c r="N1162" i="1"/>
  <c r="M1162" i="1"/>
  <c r="O1161" i="1"/>
  <c r="O1161" i="1" a="1"/>
  <c r="N1161" i="1"/>
  <c r="M1161" i="1"/>
  <c r="O1160" i="1" a="1"/>
  <c r="O1160" i="1" s="1"/>
  <c r="N1160" i="1"/>
  <c r="M1160" i="1"/>
  <c r="O1159" i="1"/>
  <c r="O1159" i="1" a="1"/>
  <c r="N1159" i="1"/>
  <c r="M1159" i="1"/>
  <c r="O1158" i="1" a="1"/>
  <c r="O1158" i="1" s="1"/>
  <c r="N1158" i="1"/>
  <c r="M1158" i="1"/>
  <c r="O1157" i="1"/>
  <c r="O1157" i="1" a="1"/>
  <c r="N1157" i="1"/>
  <c r="M1157" i="1"/>
  <c r="O1156" i="1" a="1"/>
  <c r="O1156" i="1" s="1"/>
  <c r="N1156" i="1"/>
  <c r="M1156" i="1"/>
  <c r="O1155" i="1"/>
  <c r="O1155" i="1" a="1"/>
  <c r="N1155" i="1"/>
  <c r="M1155" i="1"/>
  <c r="O1154" i="1" a="1"/>
  <c r="O1154" i="1" s="1"/>
  <c r="N1154" i="1"/>
  <c r="M1154" i="1"/>
  <c r="O1153" i="1"/>
  <c r="O1153" i="1" a="1"/>
  <c r="N1153" i="1"/>
  <c r="M1153" i="1"/>
  <c r="O1152" i="1" a="1"/>
  <c r="O1152" i="1" s="1"/>
  <c r="N1152" i="1"/>
  <c r="M1152" i="1"/>
  <c r="O1151" i="1"/>
  <c r="O1151" i="1" a="1"/>
  <c r="N1151" i="1"/>
  <c r="M1151" i="1"/>
  <c r="O1150" i="1" a="1"/>
  <c r="O1150" i="1" s="1"/>
  <c r="N1150" i="1"/>
  <c r="M1150" i="1"/>
  <c r="O1149" i="1"/>
  <c r="O1149" i="1" a="1"/>
  <c r="N1149" i="1"/>
  <c r="M1149" i="1"/>
  <c r="O1148" i="1" a="1"/>
  <c r="O1148" i="1" s="1"/>
  <c r="N1148" i="1"/>
  <c r="M1148" i="1"/>
  <c r="O1147" i="1"/>
  <c r="O1147" i="1" a="1"/>
  <c r="N1147" i="1"/>
  <c r="M1147" i="1"/>
  <c r="O1146" i="1" a="1"/>
  <c r="O1146" i="1" s="1"/>
  <c r="N1146" i="1"/>
  <c r="M1146" i="1"/>
  <c r="O1145" i="1"/>
  <c r="O1145" i="1" a="1"/>
  <c r="N1145" i="1"/>
  <c r="M1145" i="1"/>
  <c r="O1144" i="1" a="1"/>
  <c r="O1144" i="1" s="1"/>
  <c r="N1144" i="1"/>
  <c r="M1144" i="1"/>
  <c r="O1143" i="1"/>
  <c r="O1143" i="1" a="1"/>
  <c r="N1143" i="1"/>
  <c r="M1143" i="1"/>
  <c r="O1142" i="1" a="1"/>
  <c r="O1142" i="1" s="1"/>
  <c r="N1142" i="1"/>
  <c r="M1142" i="1"/>
  <c r="O1141" i="1"/>
  <c r="O1141" i="1" a="1"/>
  <c r="N1141" i="1"/>
  <c r="M1141" i="1"/>
  <c r="O1140" i="1" a="1"/>
  <c r="O1140" i="1" s="1"/>
  <c r="N1140" i="1"/>
  <c r="M1140" i="1"/>
  <c r="O1139" i="1"/>
  <c r="O1139" i="1" a="1"/>
  <c r="N1139" i="1"/>
  <c r="M1139" i="1"/>
  <c r="O1138" i="1" a="1"/>
  <c r="O1138" i="1" s="1"/>
  <c r="N1138" i="1"/>
  <c r="M1138" i="1"/>
  <c r="O1137" i="1"/>
  <c r="O1137" i="1" a="1"/>
  <c r="N1137" i="1"/>
  <c r="M1137" i="1"/>
  <c r="O1136" i="1" a="1"/>
  <c r="O1136" i="1" s="1"/>
  <c r="N1136" i="1"/>
  <c r="M1136" i="1"/>
  <c r="O1135" i="1"/>
  <c r="O1135" i="1" a="1"/>
  <c r="N1135" i="1"/>
  <c r="M1135" i="1"/>
  <c r="O1134" i="1" a="1"/>
  <c r="O1134" i="1" s="1"/>
  <c r="N1134" i="1"/>
  <c r="M1134" i="1"/>
  <c r="O1133" i="1"/>
  <c r="O1133" i="1" a="1"/>
  <c r="N1133" i="1"/>
  <c r="M1133" i="1"/>
  <c r="O1132" i="1" a="1"/>
  <c r="O1132" i="1" s="1"/>
  <c r="N1132" i="1"/>
  <c r="M1132" i="1"/>
  <c r="O1131" i="1"/>
  <c r="O1131" i="1" a="1"/>
  <c r="N1131" i="1"/>
  <c r="M1131" i="1"/>
  <c r="O1130" i="1" a="1"/>
  <c r="O1130" i="1" s="1"/>
  <c r="N1130" i="1"/>
  <c r="M1130" i="1"/>
  <c r="O1129" i="1"/>
  <c r="O1129" i="1" a="1"/>
  <c r="N1129" i="1"/>
  <c r="M1129" i="1"/>
  <c r="O1128" i="1" a="1"/>
  <c r="O1128" i="1" s="1"/>
  <c r="N1128" i="1"/>
  <c r="M1128" i="1"/>
  <c r="O1127" i="1"/>
  <c r="O1127" i="1" a="1"/>
  <c r="N1127" i="1"/>
  <c r="M1127" i="1"/>
  <c r="O1126" i="1" a="1"/>
  <c r="O1126" i="1" s="1"/>
  <c r="N1126" i="1"/>
  <c r="M1126" i="1"/>
  <c r="O1125" i="1"/>
  <c r="O1125" i="1" a="1"/>
  <c r="N1125" i="1"/>
  <c r="M1125" i="1"/>
  <c r="O1124" i="1" a="1"/>
  <c r="O1124" i="1" s="1"/>
  <c r="N1124" i="1"/>
  <c r="M1124" i="1"/>
  <c r="O1123" i="1"/>
  <c r="O1123" i="1" a="1"/>
  <c r="N1123" i="1"/>
  <c r="M1123" i="1"/>
  <c r="O1122" i="1" a="1"/>
  <c r="O1122" i="1" s="1"/>
  <c r="N1122" i="1"/>
  <c r="M1122" i="1"/>
  <c r="O1121" i="1"/>
  <c r="O1121" i="1" a="1"/>
  <c r="N1121" i="1"/>
  <c r="M1121" i="1"/>
  <c r="O1120" i="1" a="1"/>
  <c r="O1120" i="1" s="1"/>
  <c r="N1120" i="1"/>
  <c r="M1120" i="1"/>
  <c r="O1119" i="1"/>
  <c r="O1119" i="1" a="1"/>
  <c r="N1119" i="1"/>
  <c r="M1119" i="1"/>
  <c r="O1118" i="1" a="1"/>
  <c r="O1118" i="1" s="1"/>
  <c r="N1118" i="1"/>
  <c r="M1118" i="1"/>
  <c r="O1117" i="1"/>
  <c r="O1117" i="1" a="1"/>
  <c r="N1117" i="1"/>
  <c r="M1117" i="1"/>
  <c r="O1116" i="1" a="1"/>
  <c r="O1116" i="1" s="1"/>
  <c r="N1116" i="1"/>
  <c r="M1116" i="1"/>
  <c r="O1115" i="1"/>
  <c r="O1115" i="1" a="1"/>
  <c r="N1115" i="1"/>
  <c r="M1115" i="1"/>
  <c r="O1114" i="1" a="1"/>
  <c r="O1114" i="1" s="1"/>
  <c r="N1114" i="1"/>
  <c r="M1114" i="1"/>
  <c r="O1113" i="1"/>
  <c r="O1113" i="1" a="1"/>
  <c r="N1113" i="1"/>
  <c r="M1113" i="1"/>
  <c r="O1112" i="1" a="1"/>
  <c r="O1112" i="1" s="1"/>
  <c r="N1112" i="1"/>
  <c r="M1112" i="1"/>
  <c r="O1111" i="1"/>
  <c r="O1111" i="1" a="1"/>
  <c r="N1111" i="1"/>
  <c r="M1111" i="1"/>
  <c r="O1110" i="1" a="1"/>
  <c r="O1110" i="1" s="1"/>
  <c r="N1110" i="1"/>
  <c r="M1110" i="1"/>
  <c r="O1109" i="1"/>
  <c r="O1109" i="1" a="1"/>
  <c r="N1109" i="1"/>
  <c r="M1109" i="1"/>
  <c r="O1108" i="1" a="1"/>
  <c r="O1108" i="1" s="1"/>
  <c r="N1108" i="1"/>
  <c r="M1108" i="1"/>
  <c r="O1107" i="1"/>
  <c r="O1107" i="1" a="1"/>
  <c r="N1107" i="1"/>
  <c r="M1107" i="1"/>
  <c r="O1106" i="1" a="1"/>
  <c r="O1106" i="1" s="1"/>
  <c r="N1106" i="1"/>
  <c r="M1106" i="1"/>
  <c r="O1105" i="1"/>
  <c r="O1105" i="1" a="1"/>
  <c r="N1105" i="1"/>
  <c r="M1105" i="1"/>
  <c r="O1104" i="1" a="1"/>
  <c r="O1104" i="1" s="1"/>
  <c r="N1104" i="1"/>
  <c r="M1104" i="1"/>
  <c r="O1103" i="1"/>
  <c r="O1103" i="1" a="1"/>
  <c r="N1103" i="1"/>
  <c r="M1103" i="1"/>
  <c r="O1102" i="1" a="1"/>
  <c r="O1102" i="1" s="1"/>
  <c r="N1102" i="1"/>
  <c r="M1102" i="1"/>
  <c r="O1101" i="1"/>
  <c r="O1101" i="1" a="1"/>
  <c r="N1101" i="1"/>
  <c r="M1101" i="1"/>
  <c r="O1100" i="1" a="1"/>
  <c r="O1100" i="1" s="1"/>
  <c r="N1100" i="1"/>
  <c r="M1100" i="1"/>
  <c r="O1099" i="1"/>
  <c r="O1099" i="1" a="1"/>
  <c r="N1099" i="1"/>
  <c r="M1099" i="1"/>
  <c r="O1098" i="1" a="1"/>
  <c r="O1098" i="1" s="1"/>
  <c r="N1098" i="1"/>
  <c r="M1098" i="1"/>
  <c r="O1097" i="1"/>
  <c r="O1097" i="1" a="1"/>
  <c r="N1097" i="1"/>
  <c r="M1097" i="1"/>
  <c r="O1096" i="1" a="1"/>
  <c r="O1096" i="1" s="1"/>
  <c r="N1096" i="1"/>
  <c r="M1096" i="1"/>
  <c r="O1095" i="1"/>
  <c r="O1095" i="1" a="1"/>
  <c r="N1095" i="1"/>
  <c r="M1095" i="1"/>
  <c r="O1094" i="1" a="1"/>
  <c r="O1094" i="1" s="1"/>
  <c r="N1094" i="1"/>
  <c r="M1094" i="1"/>
  <c r="O1093" i="1"/>
  <c r="O1093" i="1" a="1"/>
  <c r="N1093" i="1"/>
  <c r="M1093" i="1"/>
  <c r="O1092" i="1" a="1"/>
  <c r="O1092" i="1" s="1"/>
  <c r="N1092" i="1"/>
  <c r="M1092" i="1"/>
  <c r="O1091" i="1"/>
  <c r="O1091" i="1" a="1"/>
  <c r="N1091" i="1"/>
  <c r="M1091" i="1"/>
  <c r="O1090" i="1" a="1"/>
  <c r="O1090" i="1" s="1"/>
  <c r="N1090" i="1"/>
  <c r="M1090" i="1"/>
  <c r="O1089" i="1"/>
  <c r="O1089" i="1" a="1"/>
  <c r="N1089" i="1"/>
  <c r="M1089" i="1"/>
  <c r="O1088" i="1" a="1"/>
  <c r="O1088" i="1" s="1"/>
  <c r="N1088" i="1"/>
  <c r="M1088" i="1"/>
  <c r="O1087" i="1"/>
  <c r="O1087" i="1" a="1"/>
  <c r="N1087" i="1"/>
  <c r="M1087" i="1"/>
  <c r="O1086" i="1" a="1"/>
  <c r="O1086" i="1" s="1"/>
  <c r="N1086" i="1"/>
  <c r="M1086" i="1"/>
  <c r="O1085" i="1"/>
  <c r="O1085" i="1" a="1"/>
  <c r="N1085" i="1"/>
  <c r="M1085" i="1"/>
  <c r="O1084" i="1" a="1"/>
  <c r="O1084" i="1" s="1"/>
  <c r="N1084" i="1"/>
  <c r="M1084" i="1"/>
  <c r="O1083" i="1"/>
  <c r="O1083" i="1" a="1"/>
  <c r="N1083" i="1"/>
  <c r="M1083" i="1"/>
  <c r="O1082" i="1" a="1"/>
  <c r="O1082" i="1" s="1"/>
  <c r="N1082" i="1"/>
  <c r="M1082" i="1"/>
  <c r="O1081" i="1"/>
  <c r="O1081" i="1" a="1"/>
  <c r="N1081" i="1"/>
  <c r="M1081" i="1"/>
  <c r="O1080" i="1" a="1"/>
  <c r="O1080" i="1" s="1"/>
  <c r="N1080" i="1"/>
  <c r="M1080" i="1"/>
  <c r="O1079" i="1"/>
  <c r="O1079" i="1" a="1"/>
  <c r="N1079" i="1"/>
  <c r="M1079" i="1"/>
  <c r="O1078" i="1" a="1"/>
  <c r="O1078" i="1" s="1"/>
  <c r="N1078" i="1"/>
  <c r="M1078" i="1"/>
  <c r="O1077" i="1"/>
  <c r="O1077" i="1" a="1"/>
  <c r="N1077" i="1"/>
  <c r="M1077" i="1"/>
  <c r="O1076" i="1" a="1"/>
  <c r="O1076" i="1" s="1"/>
  <c r="N1076" i="1"/>
  <c r="M1076" i="1"/>
  <c r="O1075" i="1"/>
  <c r="O1075" i="1" a="1"/>
  <c r="N1075" i="1"/>
  <c r="M1075" i="1"/>
  <c r="O1074" i="1" a="1"/>
  <c r="O1074" i="1" s="1"/>
  <c r="N1074" i="1"/>
  <c r="M1074" i="1"/>
  <c r="O1073" i="1"/>
  <c r="O1073" i="1" a="1"/>
  <c r="N1073" i="1"/>
  <c r="M1073" i="1"/>
  <c r="O1072" i="1" a="1"/>
  <c r="O1072" i="1" s="1"/>
  <c r="N1072" i="1"/>
  <c r="M1072" i="1"/>
  <c r="O1071" i="1"/>
  <c r="O1071" i="1" a="1"/>
  <c r="N1071" i="1"/>
  <c r="M1071" i="1"/>
  <c r="O1070" i="1" a="1"/>
  <c r="O1070" i="1" s="1"/>
  <c r="N1070" i="1"/>
  <c r="M1070" i="1"/>
  <c r="O1069" i="1"/>
  <c r="O1069" i="1" a="1"/>
  <c r="N1069" i="1"/>
  <c r="M1069" i="1"/>
  <c r="O1068" i="1" a="1"/>
  <c r="O1068" i="1" s="1"/>
  <c r="N1068" i="1"/>
  <c r="M1068" i="1"/>
  <c r="O1067" i="1"/>
  <c r="O1067" i="1" a="1"/>
  <c r="N1067" i="1"/>
  <c r="M1067" i="1"/>
  <c r="O1066" i="1" a="1"/>
  <c r="O1066" i="1" s="1"/>
  <c r="N1066" i="1"/>
  <c r="M1066" i="1"/>
  <c r="O1065" i="1"/>
  <c r="O1065" i="1" a="1"/>
  <c r="N1065" i="1"/>
  <c r="M1065" i="1"/>
  <c r="O1064" i="1" a="1"/>
  <c r="O1064" i="1" s="1"/>
  <c r="N1064" i="1"/>
  <c r="M1064" i="1"/>
  <c r="O1063" i="1"/>
  <c r="O1063" i="1" a="1"/>
  <c r="N1063" i="1"/>
  <c r="M1063" i="1"/>
  <c r="O1062" i="1" a="1"/>
  <c r="O1062" i="1" s="1"/>
  <c r="N1062" i="1"/>
  <c r="M1062" i="1"/>
  <c r="O1061" i="1"/>
  <c r="O1061" i="1" a="1"/>
  <c r="N1061" i="1"/>
  <c r="M1061" i="1"/>
  <c r="O1060" i="1" a="1"/>
  <c r="O1060" i="1" s="1"/>
  <c r="N1060" i="1"/>
  <c r="M1060" i="1"/>
  <c r="O1059" i="1"/>
  <c r="O1059" i="1" a="1"/>
  <c r="N1059" i="1"/>
  <c r="M1059" i="1"/>
  <c r="O1058" i="1" a="1"/>
  <c r="O1058" i="1" s="1"/>
  <c r="N1058" i="1"/>
  <c r="M1058" i="1"/>
  <c r="O1057" i="1"/>
  <c r="O1057" i="1" a="1"/>
  <c r="N1057" i="1"/>
  <c r="M1057" i="1"/>
  <c r="O1056" i="1" a="1"/>
  <c r="O1056" i="1" s="1"/>
  <c r="N1056" i="1"/>
  <c r="M1056" i="1"/>
  <c r="O1055" i="1"/>
  <c r="O1055" i="1" a="1"/>
  <c r="N1055" i="1"/>
  <c r="M1055" i="1"/>
  <c r="O1054" i="1" a="1"/>
  <c r="O1054" i="1" s="1"/>
  <c r="N1054" i="1"/>
  <c r="M1054" i="1"/>
  <c r="O1053" i="1"/>
  <c r="O1053" i="1" a="1"/>
  <c r="N1053" i="1"/>
  <c r="M1053" i="1"/>
  <c r="O1052" i="1" a="1"/>
  <c r="O1052" i="1" s="1"/>
  <c r="N1052" i="1"/>
  <c r="M1052" i="1"/>
  <c r="O1051" i="1"/>
  <c r="O1051" i="1" a="1"/>
  <c r="N1051" i="1"/>
  <c r="M1051" i="1"/>
  <c r="O1050" i="1" a="1"/>
  <c r="O1050" i="1" s="1"/>
  <c r="N1050" i="1"/>
  <c r="M1050" i="1"/>
  <c r="O1049" i="1"/>
  <c r="O1049" i="1" a="1"/>
  <c r="N1049" i="1"/>
  <c r="M1049" i="1"/>
  <c r="O1048" i="1" a="1"/>
  <c r="O1048" i="1" s="1"/>
  <c r="N1048" i="1"/>
  <c r="M1048" i="1"/>
  <c r="O1047" i="1"/>
  <c r="O1047" i="1" a="1"/>
  <c r="N1047" i="1"/>
  <c r="M1047" i="1"/>
  <c r="O1046" i="1" a="1"/>
  <c r="O1046" i="1" s="1"/>
  <c r="N1046" i="1"/>
  <c r="M1046" i="1"/>
  <c r="O1045" i="1"/>
  <c r="O1045" i="1" a="1"/>
  <c r="N1045" i="1"/>
  <c r="M1045" i="1"/>
  <c r="O1044" i="1" a="1"/>
  <c r="O1044" i="1" s="1"/>
  <c r="N1044" i="1"/>
  <c r="M1044" i="1"/>
  <c r="O1043" i="1"/>
  <c r="O1043" i="1" a="1"/>
  <c r="N1043" i="1"/>
  <c r="M1043" i="1"/>
  <c r="O1042" i="1" a="1"/>
  <c r="O1042" i="1" s="1"/>
  <c r="N1042" i="1"/>
  <c r="M1042" i="1"/>
  <c r="O1041" i="1"/>
  <c r="O1041" i="1" a="1"/>
  <c r="N1041" i="1"/>
  <c r="M1041" i="1"/>
  <c r="O1040" i="1" a="1"/>
  <c r="O1040" i="1" s="1"/>
  <c r="N1040" i="1"/>
  <c r="M1040" i="1"/>
  <c r="O1039" i="1"/>
  <c r="O1039" i="1" a="1"/>
  <c r="N1039" i="1"/>
  <c r="M1039" i="1"/>
  <c r="O1038" i="1" a="1"/>
  <c r="O1038" i="1" s="1"/>
  <c r="N1038" i="1"/>
  <c r="M1038" i="1"/>
  <c r="O1037" i="1"/>
  <c r="O1037" i="1" a="1"/>
  <c r="N1037" i="1"/>
  <c r="M1037" i="1"/>
  <c r="O1036" i="1" a="1"/>
  <c r="O1036" i="1" s="1"/>
  <c r="N1036" i="1"/>
  <c r="M1036" i="1"/>
  <c r="O1035" i="1"/>
  <c r="O1035" i="1" a="1"/>
  <c r="N1035" i="1"/>
  <c r="M1035" i="1"/>
  <c r="O1034" i="1" a="1"/>
  <c r="O1034" i="1" s="1"/>
  <c r="N1034" i="1"/>
  <c r="M1034" i="1"/>
  <c r="O1033" i="1"/>
  <c r="O1033" i="1" a="1"/>
  <c r="N1033" i="1"/>
  <c r="M1033" i="1"/>
  <c r="O1032" i="1" a="1"/>
  <c r="O1032" i="1" s="1"/>
  <c r="N1032" i="1"/>
  <c r="M1032" i="1"/>
  <c r="O1031" i="1"/>
  <c r="O1031" i="1" a="1"/>
  <c r="N1031" i="1"/>
  <c r="M1031" i="1"/>
  <c r="O1030" i="1" a="1"/>
  <c r="O1030" i="1" s="1"/>
  <c r="N1030" i="1"/>
  <c r="M1030" i="1"/>
  <c r="O1029" i="1"/>
  <c r="O1029" i="1" a="1"/>
  <c r="N1029" i="1"/>
  <c r="M1029" i="1"/>
  <c r="O1028" i="1" a="1"/>
  <c r="O1028" i="1" s="1"/>
  <c r="N1028" i="1"/>
  <c r="M1028" i="1"/>
  <c r="O1027" i="1"/>
  <c r="O1027" i="1" a="1"/>
  <c r="N1027" i="1"/>
  <c r="M1027" i="1"/>
  <c r="O1026" i="1" a="1"/>
  <c r="O1026" i="1" s="1"/>
  <c r="N1026" i="1"/>
  <c r="M1026" i="1"/>
  <c r="O1025" i="1"/>
  <c r="O1025" i="1" a="1"/>
  <c r="N1025" i="1"/>
  <c r="M1025" i="1"/>
  <c r="O1024" i="1" a="1"/>
  <c r="O1024" i="1" s="1"/>
  <c r="N1024" i="1"/>
  <c r="M1024" i="1"/>
  <c r="O1023" i="1"/>
  <c r="O1023" i="1" a="1"/>
  <c r="N1023" i="1"/>
  <c r="M1023" i="1"/>
  <c r="O1022" i="1" a="1"/>
  <c r="O1022" i="1" s="1"/>
  <c r="N1022" i="1"/>
  <c r="M1022" i="1"/>
  <c r="O1021" i="1"/>
  <c r="O1021" i="1" a="1"/>
  <c r="N1021" i="1"/>
  <c r="M1021" i="1"/>
  <c r="O1020" i="1" a="1"/>
  <c r="O1020" i="1" s="1"/>
  <c r="N1020" i="1"/>
  <c r="M1020" i="1"/>
  <c r="O1019" i="1"/>
  <c r="O1019" i="1" a="1"/>
  <c r="N1019" i="1"/>
  <c r="M1019" i="1"/>
  <c r="O1018" i="1" a="1"/>
  <c r="O1018" i="1" s="1"/>
  <c r="N1018" i="1"/>
  <c r="M1018" i="1"/>
  <c r="O1017" i="1"/>
  <c r="O1017" i="1" a="1"/>
  <c r="N1017" i="1"/>
  <c r="M1017" i="1"/>
  <c r="O1016" i="1" a="1"/>
  <c r="O1016" i="1" s="1"/>
  <c r="N1016" i="1"/>
  <c r="M1016" i="1"/>
  <c r="O1015" i="1"/>
  <c r="O1015" i="1" a="1"/>
  <c r="N1015" i="1"/>
  <c r="M1015" i="1"/>
  <c r="O1014" i="1" a="1"/>
  <c r="O1014" i="1" s="1"/>
  <c r="N1014" i="1"/>
  <c r="M1014" i="1"/>
  <c r="O1013" i="1"/>
  <c r="O1013" i="1" a="1"/>
  <c r="N1013" i="1"/>
  <c r="M1013" i="1"/>
  <c r="O1012" i="1" a="1"/>
  <c r="O1012" i="1" s="1"/>
  <c r="N1012" i="1"/>
  <c r="M1012" i="1"/>
  <c r="O1011" i="1"/>
  <c r="O1011" i="1" a="1"/>
  <c r="N1011" i="1"/>
  <c r="M1011" i="1"/>
  <c r="O1010" i="1" a="1"/>
  <c r="O1010" i="1" s="1"/>
  <c r="N1010" i="1"/>
  <c r="M1010" i="1"/>
  <c r="O1009" i="1"/>
  <c r="O1009" i="1" a="1"/>
  <c r="N1009" i="1"/>
  <c r="M1009" i="1"/>
  <c r="O1008" i="1" a="1"/>
  <c r="O1008" i="1" s="1"/>
  <c r="N1008" i="1"/>
  <c r="M1008" i="1"/>
  <c r="O1007" i="1"/>
  <c r="O1007" i="1" a="1"/>
  <c r="N1007" i="1"/>
  <c r="M1007" i="1"/>
  <c r="O1006" i="1" a="1"/>
  <c r="O1006" i="1" s="1"/>
  <c r="N1006" i="1"/>
  <c r="M1006" i="1"/>
  <c r="O1005" i="1"/>
  <c r="O1005" i="1" a="1"/>
  <c r="N1005" i="1"/>
  <c r="M1005" i="1"/>
  <c r="O1004" i="1" a="1"/>
  <c r="O1004" i="1" s="1"/>
  <c r="N1004" i="1"/>
  <c r="M1004" i="1"/>
  <c r="O1003" i="1"/>
  <c r="O1003" i="1" a="1"/>
  <c r="N1003" i="1"/>
  <c r="M1003" i="1"/>
  <c r="O1002" i="1" a="1"/>
  <c r="O1002" i="1" s="1"/>
  <c r="N1002" i="1"/>
  <c r="M1002" i="1"/>
  <c r="O1001" i="1"/>
  <c r="O1001" i="1" a="1"/>
  <c r="N1001" i="1"/>
  <c r="M1001" i="1"/>
  <c r="O1000" i="1" a="1"/>
  <c r="O1000" i="1" s="1"/>
  <c r="N1000" i="1"/>
  <c r="M1000" i="1"/>
  <c r="O999" i="1"/>
  <c r="O999" i="1" a="1"/>
  <c r="N999" i="1"/>
  <c r="M999" i="1"/>
  <c r="O998" i="1" a="1"/>
  <c r="O998" i="1" s="1"/>
  <c r="N998" i="1"/>
  <c r="M998" i="1"/>
  <c r="O997" i="1"/>
  <c r="O997" i="1" a="1"/>
  <c r="N997" i="1"/>
  <c r="M997" i="1"/>
  <c r="O996" i="1" a="1"/>
  <c r="O996" i="1" s="1"/>
  <c r="N996" i="1"/>
  <c r="M996" i="1"/>
  <c r="O995" i="1"/>
  <c r="O995" i="1" a="1"/>
  <c r="N995" i="1"/>
  <c r="M995" i="1"/>
  <c r="O994" i="1" a="1"/>
  <c r="O994" i="1" s="1"/>
  <c r="N994" i="1"/>
  <c r="M994" i="1"/>
  <c r="O993" i="1"/>
  <c r="O993" i="1" a="1"/>
  <c r="N993" i="1"/>
  <c r="M993" i="1"/>
  <c r="O992" i="1" a="1"/>
  <c r="O992" i="1" s="1"/>
  <c r="N992" i="1"/>
  <c r="M992" i="1"/>
  <c r="O991" i="1"/>
  <c r="O991" i="1" a="1"/>
  <c r="N991" i="1"/>
  <c r="M991" i="1"/>
  <c r="O990" i="1" a="1"/>
  <c r="O990" i="1" s="1"/>
  <c r="N990" i="1"/>
  <c r="M990" i="1"/>
  <c r="O989" i="1"/>
  <c r="O989" i="1" a="1"/>
  <c r="N989" i="1"/>
  <c r="M989" i="1"/>
  <c r="O988" i="1" a="1"/>
  <c r="O988" i="1" s="1"/>
  <c r="N988" i="1"/>
  <c r="M988" i="1"/>
  <c r="O987" i="1"/>
  <c r="O987" i="1" a="1"/>
  <c r="N987" i="1"/>
  <c r="M987" i="1"/>
  <c r="O986" i="1" a="1"/>
  <c r="O986" i="1" s="1"/>
  <c r="N986" i="1"/>
  <c r="M986" i="1"/>
  <c r="O985" i="1"/>
  <c r="O985" i="1" a="1"/>
  <c r="N985" i="1"/>
  <c r="M985" i="1"/>
  <c r="O984" i="1" a="1"/>
  <c r="O984" i="1" s="1"/>
  <c r="N984" i="1"/>
  <c r="M984" i="1"/>
  <c r="O983" i="1"/>
  <c r="O983" i="1" a="1"/>
  <c r="N983" i="1"/>
  <c r="M983" i="1"/>
  <c r="O982" i="1" a="1"/>
  <c r="O982" i="1" s="1"/>
  <c r="N982" i="1"/>
  <c r="M982" i="1"/>
  <c r="O981" i="1"/>
  <c r="O981" i="1" a="1"/>
  <c r="N981" i="1"/>
  <c r="M981" i="1"/>
  <c r="O980" i="1" a="1"/>
  <c r="O980" i="1" s="1"/>
  <c r="N980" i="1"/>
  <c r="M980" i="1"/>
  <c r="O979" i="1"/>
  <c r="O979" i="1" a="1"/>
  <c r="N979" i="1"/>
  <c r="M979" i="1"/>
  <c r="O978" i="1" a="1"/>
  <c r="O978" i="1" s="1"/>
  <c r="N978" i="1"/>
  <c r="M978" i="1"/>
  <c r="O977" i="1"/>
  <c r="O977" i="1" a="1"/>
  <c r="N977" i="1"/>
  <c r="M977" i="1"/>
  <c r="O976" i="1" a="1"/>
  <c r="O976" i="1" s="1"/>
  <c r="N976" i="1"/>
  <c r="M976" i="1"/>
  <c r="O975" i="1"/>
  <c r="O975" i="1" a="1"/>
  <c r="N975" i="1"/>
  <c r="M975" i="1"/>
  <c r="O974" i="1" a="1"/>
  <c r="O974" i="1" s="1"/>
  <c r="N974" i="1"/>
  <c r="M974" i="1"/>
  <c r="O973" i="1"/>
  <c r="O973" i="1" a="1"/>
  <c r="N973" i="1"/>
  <c r="M973" i="1"/>
  <c r="O972" i="1" a="1"/>
  <c r="O972" i="1" s="1"/>
  <c r="N972" i="1"/>
  <c r="M972" i="1"/>
  <c r="O971" i="1"/>
  <c r="O971" i="1" a="1"/>
  <c r="N971" i="1"/>
  <c r="M971" i="1"/>
  <c r="O970" i="1" a="1"/>
  <c r="O970" i="1" s="1"/>
  <c r="N970" i="1"/>
  <c r="M970" i="1"/>
  <c r="O969" i="1"/>
  <c r="O969" i="1" a="1"/>
  <c r="N969" i="1"/>
  <c r="M969" i="1"/>
  <c r="O968" i="1" a="1"/>
  <c r="O968" i="1" s="1"/>
  <c r="N968" i="1"/>
  <c r="M968" i="1"/>
  <c r="O967" i="1"/>
  <c r="O967" i="1" a="1"/>
  <c r="N967" i="1"/>
  <c r="M967" i="1"/>
  <c r="O966" i="1" a="1"/>
  <c r="O966" i="1" s="1"/>
  <c r="N966" i="1"/>
  <c r="M966" i="1"/>
  <c r="O965" i="1"/>
  <c r="O965" i="1" a="1"/>
  <c r="N965" i="1"/>
  <c r="M965" i="1"/>
  <c r="O964" i="1" a="1"/>
  <c r="O964" i="1" s="1"/>
  <c r="N964" i="1"/>
  <c r="M964" i="1"/>
  <c r="O963" i="1"/>
  <c r="O963" i="1" a="1"/>
  <c r="N963" i="1"/>
  <c r="M963" i="1"/>
  <c r="O962" i="1" a="1"/>
  <c r="O962" i="1" s="1"/>
  <c r="N962" i="1"/>
  <c r="M962" i="1"/>
  <c r="O961" i="1"/>
  <c r="O961" i="1" a="1"/>
  <c r="N961" i="1"/>
  <c r="M961" i="1"/>
  <c r="O960" i="1" a="1"/>
  <c r="O960" i="1" s="1"/>
  <c r="N960" i="1"/>
  <c r="M960" i="1"/>
  <c r="O959" i="1"/>
  <c r="O959" i="1" a="1"/>
  <c r="N959" i="1"/>
  <c r="M959" i="1"/>
  <c r="O958" i="1" a="1"/>
  <c r="O958" i="1" s="1"/>
  <c r="N958" i="1"/>
  <c r="M958" i="1"/>
  <c r="O957" i="1"/>
  <c r="O957" i="1" a="1"/>
  <c r="N957" i="1"/>
  <c r="M957" i="1"/>
  <c r="O956" i="1" a="1"/>
  <c r="O956" i="1" s="1"/>
  <c r="N956" i="1"/>
  <c r="M956" i="1"/>
  <c r="O955" i="1"/>
  <c r="O955" i="1" a="1"/>
  <c r="N955" i="1"/>
  <c r="M955" i="1"/>
  <c r="O954" i="1" a="1"/>
  <c r="O954" i="1" s="1"/>
  <c r="N954" i="1"/>
  <c r="M954" i="1"/>
  <c r="O953" i="1"/>
  <c r="O953" i="1" a="1"/>
  <c r="N953" i="1"/>
  <c r="M953" i="1"/>
  <c r="O952" i="1" a="1"/>
  <c r="O952" i="1" s="1"/>
  <c r="N952" i="1"/>
  <c r="M952" i="1"/>
  <c r="O951" i="1"/>
  <c r="O951" i="1" a="1"/>
  <c r="N951" i="1"/>
  <c r="M951" i="1"/>
  <c r="O950" i="1" a="1"/>
  <c r="O950" i="1" s="1"/>
  <c r="N950" i="1"/>
  <c r="M950" i="1"/>
  <c r="O949" i="1"/>
  <c r="O949" i="1" a="1"/>
  <c r="N949" i="1"/>
  <c r="M949" i="1"/>
  <c r="O948" i="1" a="1"/>
  <c r="O948" i="1" s="1"/>
  <c r="N948" i="1"/>
  <c r="M948" i="1"/>
  <c r="O947" i="1"/>
  <c r="O947" i="1" a="1"/>
  <c r="N947" i="1"/>
  <c r="M947" i="1"/>
  <c r="O946" i="1" a="1"/>
  <c r="O946" i="1" s="1"/>
  <c r="N946" i="1"/>
  <c r="M946" i="1"/>
  <c r="O945" i="1"/>
  <c r="O945" i="1" a="1"/>
  <c r="N945" i="1"/>
  <c r="M945" i="1"/>
  <c r="O944" i="1" a="1"/>
  <c r="O944" i="1" s="1"/>
  <c r="N944" i="1"/>
  <c r="M944" i="1"/>
  <c r="O943" i="1"/>
  <c r="O943" i="1" a="1"/>
  <c r="N943" i="1"/>
  <c r="M943" i="1"/>
  <c r="O942" i="1" a="1"/>
  <c r="O942" i="1" s="1"/>
  <c r="N942" i="1"/>
  <c r="M942" i="1"/>
  <c r="O941" i="1"/>
  <c r="O941" i="1" a="1"/>
  <c r="N941" i="1"/>
  <c r="M941" i="1"/>
  <c r="O940" i="1" a="1"/>
  <c r="O940" i="1" s="1"/>
  <c r="N940" i="1"/>
  <c r="M940" i="1"/>
  <c r="O939" i="1"/>
  <c r="O939" i="1" a="1"/>
  <c r="N939" i="1"/>
  <c r="M939" i="1"/>
  <c r="O938" i="1" a="1"/>
  <c r="O938" i="1" s="1"/>
  <c r="N938" i="1"/>
  <c r="M938" i="1"/>
  <c r="O937" i="1"/>
  <c r="O937" i="1" a="1"/>
  <c r="N937" i="1"/>
  <c r="M937" i="1"/>
  <c r="O936" i="1" a="1"/>
  <c r="O936" i="1" s="1"/>
  <c r="N936" i="1"/>
  <c r="M936" i="1"/>
  <c r="O935" i="1"/>
  <c r="O935" i="1" a="1"/>
  <c r="N935" i="1"/>
  <c r="M935" i="1"/>
  <c r="O934" i="1" a="1"/>
  <c r="O934" i="1" s="1"/>
  <c r="N934" i="1"/>
  <c r="M934" i="1"/>
  <c r="O933" i="1"/>
  <c r="O933" i="1" a="1"/>
  <c r="N933" i="1"/>
  <c r="M933" i="1"/>
  <c r="O932" i="1" a="1"/>
  <c r="O932" i="1" s="1"/>
  <c r="N932" i="1"/>
  <c r="M932" i="1"/>
  <c r="O931" i="1"/>
  <c r="O931" i="1" a="1"/>
  <c r="N931" i="1"/>
  <c r="M931" i="1"/>
  <c r="O930" i="1" a="1"/>
  <c r="O930" i="1" s="1"/>
  <c r="N930" i="1"/>
  <c r="M930" i="1"/>
  <c r="O929" i="1"/>
  <c r="O929" i="1" a="1"/>
  <c r="N929" i="1"/>
  <c r="M929" i="1"/>
  <c r="O928" i="1" a="1"/>
  <c r="O928" i="1" s="1"/>
  <c r="N928" i="1"/>
  <c r="M928" i="1"/>
  <c r="O927" i="1"/>
  <c r="O927" i="1" a="1"/>
  <c r="N927" i="1"/>
  <c r="M927" i="1"/>
  <c r="O926" i="1" a="1"/>
  <c r="O926" i="1" s="1"/>
  <c r="N926" i="1"/>
  <c r="M926" i="1"/>
  <c r="O925" i="1"/>
  <c r="O925" i="1" a="1"/>
  <c r="N925" i="1"/>
  <c r="M925" i="1"/>
  <c r="O924" i="1"/>
  <c r="O924" i="1" a="1"/>
  <c r="N924" i="1"/>
  <c r="M924" i="1"/>
  <c r="O923" i="1"/>
  <c r="O923" i="1" a="1"/>
  <c r="N923" i="1"/>
  <c r="M923" i="1"/>
  <c r="O922" i="1"/>
  <c r="O922" i="1" a="1"/>
  <c r="N922" i="1"/>
  <c r="M922" i="1"/>
  <c r="O921" i="1"/>
  <c r="O921" i="1" a="1"/>
  <c r="N921" i="1"/>
  <c r="M921" i="1"/>
  <c r="O920" i="1" a="1"/>
  <c r="O920" i="1" s="1"/>
  <c r="N920" i="1"/>
  <c r="M920" i="1"/>
  <c r="O919" i="1"/>
  <c r="O919" i="1" a="1"/>
  <c r="N919" i="1"/>
  <c r="M919" i="1"/>
  <c r="O918" i="1" a="1"/>
  <c r="O918" i="1" s="1"/>
  <c r="N918" i="1"/>
  <c r="M918" i="1"/>
  <c r="O917" i="1"/>
  <c r="O917" i="1" a="1"/>
  <c r="N917" i="1"/>
  <c r="M917" i="1"/>
  <c r="O916" i="1" a="1"/>
  <c r="O916" i="1" s="1"/>
  <c r="N916" i="1"/>
  <c r="M916" i="1"/>
  <c r="O915" i="1"/>
  <c r="O915" i="1" a="1"/>
  <c r="N915" i="1"/>
  <c r="M915" i="1"/>
  <c r="O914" i="1" a="1"/>
  <c r="O914" i="1" s="1"/>
  <c r="N914" i="1"/>
  <c r="M914" i="1"/>
  <c r="O913" i="1"/>
  <c r="O913" i="1" a="1"/>
  <c r="N913" i="1"/>
  <c r="M913" i="1"/>
  <c r="O912" i="1" a="1"/>
  <c r="O912" i="1" s="1"/>
  <c r="N912" i="1"/>
  <c r="M912" i="1"/>
  <c r="O911" i="1"/>
  <c r="O911" i="1" a="1"/>
  <c r="N911" i="1"/>
  <c r="M911" i="1"/>
  <c r="O910" i="1" a="1"/>
  <c r="O910" i="1" s="1"/>
  <c r="N910" i="1"/>
  <c r="M910" i="1"/>
  <c r="O909" i="1"/>
  <c r="O909" i="1" a="1"/>
  <c r="N909" i="1"/>
  <c r="M909" i="1"/>
  <c r="O908" i="1" a="1"/>
  <c r="O908" i="1" s="1"/>
  <c r="N908" i="1"/>
  <c r="M908" i="1"/>
  <c r="O907" i="1"/>
  <c r="O907" i="1" a="1"/>
  <c r="N907" i="1"/>
  <c r="M907" i="1"/>
  <c r="O906" i="1" a="1"/>
  <c r="O906" i="1" s="1"/>
  <c r="N906" i="1"/>
  <c r="M906" i="1"/>
  <c r="O905" i="1"/>
  <c r="O905" i="1" a="1"/>
  <c r="N905" i="1"/>
  <c r="M905" i="1"/>
  <c r="O904" i="1" a="1"/>
  <c r="O904" i="1" s="1"/>
  <c r="N904" i="1"/>
  <c r="M904" i="1"/>
  <c r="O903" i="1"/>
  <c r="O903" i="1" a="1"/>
  <c r="N903" i="1"/>
  <c r="M903" i="1"/>
  <c r="O902" i="1" a="1"/>
  <c r="O902" i="1" s="1"/>
  <c r="N902" i="1"/>
  <c r="M902" i="1"/>
  <c r="O901" i="1"/>
  <c r="O901" i="1" a="1"/>
  <c r="N901" i="1"/>
  <c r="M901" i="1"/>
  <c r="O900" i="1" a="1"/>
  <c r="O900" i="1" s="1"/>
  <c r="N900" i="1"/>
  <c r="M900" i="1"/>
  <c r="O899" i="1"/>
  <c r="O899" i="1" a="1"/>
  <c r="N899" i="1"/>
  <c r="M899" i="1"/>
  <c r="O898" i="1" a="1"/>
  <c r="O898" i="1" s="1"/>
  <c r="N898" i="1"/>
  <c r="M898" i="1"/>
  <c r="O897" i="1"/>
  <c r="O897" i="1" a="1"/>
  <c r="N897" i="1"/>
  <c r="M897" i="1"/>
  <c r="O896" i="1" a="1"/>
  <c r="O896" i="1" s="1"/>
  <c r="N896" i="1"/>
  <c r="M896" i="1"/>
  <c r="O895" i="1"/>
  <c r="O895" i="1" a="1"/>
  <c r="N895" i="1"/>
  <c r="M895" i="1"/>
  <c r="O894" i="1" a="1"/>
  <c r="O894" i="1" s="1"/>
  <c r="N894" i="1"/>
  <c r="M894" i="1"/>
  <c r="O893" i="1"/>
  <c r="O893" i="1" a="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c r="O882" i="1" a="1"/>
  <c r="N882" i="1"/>
  <c r="M882" i="1"/>
  <c r="O881" i="1" a="1"/>
  <c r="O881" i="1" s="1"/>
  <c r="N881" i="1"/>
  <c r="M881" i="1"/>
  <c r="O880" i="1" a="1"/>
  <c r="O880" i="1" s="1"/>
  <c r="N880" i="1"/>
  <c r="M880" i="1"/>
  <c r="O879" i="1" a="1"/>
  <c r="O879" i="1" s="1"/>
  <c r="N879" i="1"/>
  <c r="M879" i="1"/>
  <c r="O878" i="1"/>
  <c r="O878" i="1" a="1"/>
  <c r="N878" i="1"/>
  <c r="M878" i="1"/>
  <c r="O877" i="1"/>
  <c r="O877" i="1" a="1"/>
  <c r="N877" i="1"/>
  <c r="M877" i="1"/>
  <c r="O876" i="1"/>
  <c r="O876" i="1" a="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c r="O870" i="1" a="1"/>
  <c r="N870" i="1"/>
  <c r="M870" i="1"/>
  <c r="O869" i="1" a="1"/>
  <c r="O869" i="1" s="1"/>
  <c r="N869" i="1"/>
  <c r="M869" i="1"/>
  <c r="O868" i="1"/>
  <c r="O868" i="1" a="1"/>
  <c r="N868" i="1"/>
  <c r="M868" i="1"/>
  <c r="O867" i="1" a="1"/>
  <c r="O867" i="1" s="1"/>
  <c r="N867" i="1"/>
  <c r="M867" i="1"/>
  <c r="O866" i="1" a="1"/>
  <c r="O866" i="1" s="1"/>
  <c r="N866" i="1"/>
  <c r="M866" i="1"/>
  <c r="O865" i="1" a="1"/>
  <c r="O865" i="1" s="1"/>
  <c r="N865" i="1"/>
  <c r="M865" i="1"/>
  <c r="O864" i="1"/>
  <c r="O864" i="1" a="1"/>
  <c r="N864" i="1"/>
  <c r="M864" i="1"/>
  <c r="O863" i="1" a="1"/>
  <c r="O863" i="1" s="1"/>
  <c r="N863" i="1"/>
  <c r="M863" i="1"/>
  <c r="O862" i="1" a="1"/>
  <c r="O862" i="1" s="1"/>
  <c r="N862" i="1"/>
  <c r="M862" i="1"/>
  <c r="O861" i="1" a="1"/>
  <c r="O861" i="1" s="1"/>
  <c r="N861" i="1"/>
  <c r="M861" i="1"/>
  <c r="O860" i="1"/>
  <c r="O860" i="1" a="1"/>
  <c r="N860" i="1"/>
  <c r="M860" i="1"/>
  <c r="O859" i="1" a="1"/>
  <c r="O859" i="1" s="1"/>
  <c r="N859" i="1"/>
  <c r="M859" i="1"/>
  <c r="O858" i="1"/>
  <c r="O858" i="1" a="1"/>
  <c r="N858" i="1"/>
  <c r="M858" i="1"/>
  <c r="O857" i="1" a="1"/>
  <c r="O857" i="1" s="1"/>
  <c r="N857" i="1"/>
  <c r="M857" i="1"/>
  <c r="O856" i="1"/>
  <c r="O856" i="1" a="1"/>
  <c r="N856" i="1"/>
  <c r="M856" i="1"/>
  <c r="O855" i="1" a="1"/>
  <c r="O855" i="1" s="1"/>
  <c r="N855" i="1"/>
  <c r="M855" i="1"/>
  <c r="O854" i="1" a="1"/>
  <c r="O854" i="1" s="1"/>
  <c r="N854" i="1"/>
  <c r="M854" i="1"/>
  <c r="O853" i="1" a="1"/>
  <c r="O853" i="1" s="1"/>
  <c r="N853" i="1"/>
  <c r="M853" i="1"/>
  <c r="O852" i="1"/>
  <c r="O852" i="1" a="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c r="O844" i="1" a="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c r="O838" i="1" a="1"/>
  <c r="N838" i="1"/>
  <c r="M838" i="1"/>
  <c r="O837" i="1" a="1"/>
  <c r="O837" i="1" s="1"/>
  <c r="N837" i="1"/>
  <c r="M837" i="1"/>
  <c r="O836" i="1" a="1"/>
  <c r="O836" i="1" s="1"/>
  <c r="N836" i="1"/>
  <c r="M836" i="1"/>
  <c r="O835" i="1" a="1"/>
  <c r="O835" i="1" s="1"/>
  <c r="N835" i="1"/>
  <c r="M835" i="1"/>
  <c r="O834" i="1"/>
  <c r="O834" i="1" a="1"/>
  <c r="N834" i="1"/>
  <c r="M834" i="1"/>
  <c r="O833" i="1" a="1"/>
  <c r="O833" i="1" s="1"/>
  <c r="N833" i="1"/>
  <c r="M833" i="1"/>
  <c r="O832" i="1"/>
  <c r="O832" i="1" a="1"/>
  <c r="N832" i="1"/>
  <c r="M832" i="1"/>
  <c r="O831" i="1" a="1"/>
  <c r="O831" i="1" s="1"/>
  <c r="N831" i="1"/>
  <c r="M831" i="1"/>
  <c r="O830" i="1" a="1"/>
  <c r="O830" i="1" s="1"/>
  <c r="N830" i="1"/>
  <c r="M830" i="1"/>
  <c r="O829" i="1" a="1"/>
  <c r="O829" i="1" s="1"/>
  <c r="N829" i="1"/>
  <c r="M829" i="1"/>
  <c r="O828" i="1"/>
  <c r="O828" i="1" a="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c r="O822" i="1" a="1"/>
  <c r="N822" i="1"/>
  <c r="M822" i="1"/>
  <c r="O821" i="1" a="1"/>
  <c r="O821" i="1" s="1"/>
  <c r="N821" i="1"/>
  <c r="M821" i="1"/>
  <c r="O820" i="1"/>
  <c r="O820" i="1" a="1"/>
  <c r="N820" i="1"/>
  <c r="M820" i="1"/>
  <c r="O819" i="1" a="1"/>
  <c r="O819" i="1" s="1"/>
  <c r="N819" i="1"/>
  <c r="M819" i="1"/>
  <c r="O818" i="1"/>
  <c r="O818" i="1" a="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c r="O812" i="1" a="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c r="O806" i="1" a="1"/>
  <c r="N806" i="1"/>
  <c r="M806" i="1"/>
  <c r="O805" i="1" a="1"/>
  <c r="O805" i="1" s="1"/>
  <c r="N805" i="1"/>
  <c r="M805" i="1"/>
  <c r="O804" i="1"/>
  <c r="O804" i="1" a="1"/>
  <c r="N804" i="1"/>
  <c r="M804" i="1"/>
  <c r="O803" i="1" a="1"/>
  <c r="O803" i="1" s="1"/>
  <c r="N803" i="1"/>
  <c r="M803" i="1"/>
  <c r="O802" i="1"/>
  <c r="O802" i="1" a="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c r="O796" i="1" a="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c r="O780" i="1" a="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c r="O774" i="1" a="1"/>
  <c r="N774" i="1"/>
  <c r="M774" i="1"/>
  <c r="O773" i="1" a="1"/>
  <c r="O773" i="1" s="1"/>
  <c r="N773" i="1"/>
  <c r="M773" i="1"/>
  <c r="O772" i="1" a="1"/>
  <c r="O772" i="1" s="1"/>
  <c r="N772" i="1"/>
  <c r="M772" i="1"/>
  <c r="O771" i="1" a="1"/>
  <c r="O771" i="1" s="1"/>
  <c r="N771" i="1"/>
  <c r="M771" i="1"/>
  <c r="O770" i="1"/>
  <c r="O770" i="1" a="1"/>
  <c r="N770" i="1"/>
  <c r="M770" i="1"/>
  <c r="O769" i="1" a="1"/>
  <c r="O769" i="1" s="1"/>
  <c r="N769" i="1"/>
  <c r="M769" i="1"/>
  <c r="O768" i="1"/>
  <c r="O768" i="1" a="1"/>
  <c r="N768" i="1"/>
  <c r="M768" i="1"/>
  <c r="O767" i="1" a="1"/>
  <c r="O767" i="1" s="1"/>
  <c r="N767" i="1"/>
  <c r="M767" i="1"/>
  <c r="O766" i="1" a="1"/>
  <c r="O766" i="1" s="1"/>
  <c r="N766" i="1"/>
  <c r="M766" i="1"/>
  <c r="O765" i="1" a="1"/>
  <c r="O765" i="1" s="1"/>
  <c r="N765" i="1"/>
  <c r="M765" i="1"/>
  <c r="O764" i="1"/>
  <c r="O764" i="1" a="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a="1"/>
  <c r="O755" i="1" s="1"/>
  <c r="N755" i="1"/>
  <c r="M755" i="1"/>
  <c r="O754" i="1"/>
  <c r="O754" i="1" a="1"/>
  <c r="N754" i="1"/>
  <c r="M754" i="1"/>
  <c r="O753" i="1" a="1"/>
  <c r="O753" i="1" s="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c r="O742" i="1" a="1"/>
  <c r="N742" i="1"/>
  <c r="M742" i="1"/>
  <c r="O741" i="1" a="1"/>
  <c r="O741" i="1" s="1"/>
  <c r="N741" i="1"/>
  <c r="M741" i="1"/>
  <c r="O740" i="1"/>
  <c r="O740" i="1" a="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c r="O732" i="1" a="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c r="O726" i="1" a="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c r="O718" i="1" a="1"/>
  <c r="N718" i="1"/>
  <c r="M718" i="1"/>
  <c r="O717" i="1" a="1"/>
  <c r="O717" i="1" s="1"/>
  <c r="N717" i="1"/>
  <c r="M717" i="1"/>
  <c r="O716" i="1" a="1"/>
  <c r="O716" i="1" s="1"/>
  <c r="N716" i="1"/>
  <c r="M716" i="1"/>
  <c r="O715" i="1" a="1"/>
  <c r="O715" i="1" s="1"/>
  <c r="N715" i="1"/>
  <c r="M715" i="1"/>
  <c r="O714" i="1"/>
  <c r="O714" i="1" a="1"/>
  <c r="N714" i="1"/>
  <c r="M714" i="1"/>
  <c r="O713" i="1" a="1"/>
  <c r="O713" i="1" s="1"/>
  <c r="N713" i="1"/>
  <c r="M713" i="1"/>
  <c r="O712" i="1"/>
  <c r="O712" i="1" a="1"/>
  <c r="N712" i="1"/>
  <c r="M712" i="1"/>
  <c r="O711" i="1" a="1"/>
  <c r="O711" i="1" s="1"/>
  <c r="N711" i="1"/>
  <c r="M711" i="1"/>
  <c r="O710" i="1" a="1"/>
  <c r="O710" i="1" s="1"/>
  <c r="N710" i="1"/>
  <c r="M710" i="1"/>
  <c r="O709" i="1" a="1"/>
  <c r="O709" i="1" s="1"/>
  <c r="N709" i="1"/>
  <c r="M709" i="1"/>
  <c r="O708" i="1"/>
  <c r="O708" i="1" a="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c r="O702" i="1" a="1"/>
  <c r="N702" i="1"/>
  <c r="M702" i="1"/>
  <c r="O701" i="1" a="1"/>
  <c r="O701" i="1" s="1"/>
  <c r="N701" i="1"/>
  <c r="M701" i="1"/>
  <c r="O700" i="1" a="1"/>
  <c r="O700" i="1" s="1"/>
  <c r="N700" i="1"/>
  <c r="M700" i="1"/>
  <c r="O699" i="1" a="1"/>
  <c r="O699" i="1" s="1"/>
  <c r="N699" i="1"/>
  <c r="M699" i="1"/>
  <c r="O698" i="1"/>
  <c r="O698" i="1" a="1"/>
  <c r="N698" i="1"/>
  <c r="M698" i="1"/>
  <c r="O697" i="1" a="1"/>
  <c r="O697" i="1" s="1"/>
  <c r="N697" i="1"/>
  <c r="M697" i="1"/>
  <c r="O696" i="1"/>
  <c r="O696" i="1" a="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c r="O686" i="1" a="1"/>
  <c r="N686" i="1"/>
  <c r="M686" i="1"/>
  <c r="O685" i="1" a="1"/>
  <c r="O685" i="1" s="1"/>
  <c r="N685" i="1"/>
  <c r="M685" i="1"/>
  <c r="O684" i="1" a="1"/>
  <c r="O684" i="1" s="1"/>
  <c r="N684" i="1"/>
  <c r="M684" i="1"/>
  <c r="O683" i="1" a="1"/>
  <c r="O683" i="1" s="1"/>
  <c r="N683" i="1"/>
  <c r="M683" i="1"/>
  <c r="O682" i="1"/>
  <c r="O682" i="1" a="1"/>
  <c r="N682" i="1"/>
  <c r="M682" i="1"/>
  <c r="O681" i="1" a="1"/>
  <c r="O681" i="1" s="1"/>
  <c r="N681" i="1"/>
  <c r="M681" i="1"/>
  <c r="O680" i="1"/>
  <c r="O680" i="1" a="1"/>
  <c r="N680" i="1"/>
  <c r="M680" i="1"/>
  <c r="O679" i="1" a="1"/>
  <c r="O679" i="1" s="1"/>
  <c r="N679" i="1"/>
  <c r="M679" i="1"/>
  <c r="O678" i="1" a="1"/>
  <c r="O678" i="1" s="1"/>
  <c r="N678" i="1"/>
  <c r="M678" i="1"/>
  <c r="O677" i="1" a="1"/>
  <c r="O677" i="1" s="1"/>
  <c r="N677" i="1"/>
  <c r="M677" i="1"/>
  <c r="O676" i="1"/>
  <c r="O676" i="1" a="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c r="O670" i="1" a="1"/>
  <c r="N670" i="1"/>
  <c r="M670" i="1"/>
  <c r="O669" i="1" a="1"/>
  <c r="O669" i="1" s="1"/>
  <c r="N669" i="1"/>
  <c r="M669" i="1"/>
  <c r="O668" i="1" a="1"/>
  <c r="O668" i="1" s="1"/>
  <c r="N668" i="1"/>
  <c r="M668" i="1"/>
  <c r="O667" i="1" a="1"/>
  <c r="O667" i="1" s="1"/>
  <c r="N667" i="1"/>
  <c r="M667" i="1"/>
  <c r="O666" i="1"/>
  <c r="O666" i="1" a="1"/>
  <c r="N666" i="1"/>
  <c r="M666" i="1"/>
  <c r="O665" i="1" a="1"/>
  <c r="O665" i="1" s="1"/>
  <c r="N665" i="1"/>
  <c r="M665" i="1"/>
  <c r="O664" i="1" a="1"/>
  <c r="O664" i="1" s="1"/>
  <c r="N664" i="1"/>
  <c r="M664" i="1"/>
  <c r="O663" i="1" a="1"/>
  <c r="O663" i="1" s="1"/>
  <c r="N663" i="1"/>
  <c r="M663" i="1"/>
  <c r="O662" i="1"/>
  <c r="O662" i="1" a="1"/>
  <c r="N662" i="1"/>
  <c r="M662" i="1"/>
  <c r="O661" i="1" a="1"/>
  <c r="O661" i="1" s="1"/>
  <c r="N661" i="1"/>
  <c r="M661" i="1"/>
  <c r="O660" i="1"/>
  <c r="O660" i="1" a="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c r="O654" i="1" a="1"/>
  <c r="N654" i="1"/>
  <c r="M654" i="1"/>
  <c r="O653" i="1" a="1"/>
  <c r="O653" i="1" s="1"/>
  <c r="N653" i="1"/>
  <c r="M653" i="1"/>
  <c r="O652" i="1" a="1"/>
  <c r="O652" i="1" s="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c r="O644" i="1" a="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c r="O638" i="1" a="1"/>
  <c r="N638" i="1"/>
  <c r="M638" i="1"/>
  <c r="O637" i="1" a="1"/>
  <c r="O637" i="1" s="1"/>
  <c r="N637" i="1"/>
  <c r="M637" i="1"/>
  <c r="O636" i="1" a="1"/>
  <c r="O636" i="1" s="1"/>
  <c r="N636" i="1"/>
  <c r="M636" i="1"/>
  <c r="O635" i="1" a="1"/>
  <c r="O635" i="1" s="1"/>
  <c r="N635" i="1"/>
  <c r="M635" i="1"/>
  <c r="O634" i="1"/>
  <c r="O634" i="1" a="1"/>
  <c r="N634" i="1"/>
  <c r="M634" i="1"/>
  <c r="O633" i="1" a="1"/>
  <c r="O633" i="1" s="1"/>
  <c r="N633" i="1"/>
  <c r="M633" i="1"/>
  <c r="O632" i="1" a="1"/>
  <c r="O632" i="1" s="1"/>
  <c r="N632" i="1"/>
  <c r="M632" i="1"/>
  <c r="O631" i="1" a="1"/>
  <c r="O631" i="1" s="1"/>
  <c r="N631" i="1"/>
  <c r="M631" i="1"/>
  <c r="O630" i="1"/>
  <c r="O630" i="1" a="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c r="O616" i="1" a="1"/>
  <c r="N616" i="1"/>
  <c r="M616" i="1"/>
  <c r="O615" i="1" a="1"/>
  <c r="O615" i="1" s="1"/>
  <c r="N615" i="1"/>
  <c r="M615" i="1"/>
  <c r="O614" i="1"/>
  <c r="O614" i="1" a="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c r="O606" i="1" a="1"/>
  <c r="N606" i="1"/>
  <c r="M606" i="1"/>
  <c r="O605" i="1" a="1"/>
  <c r="O605" i="1" s="1"/>
  <c r="N605" i="1"/>
  <c r="M605" i="1"/>
  <c r="O604" i="1" a="1"/>
  <c r="O604" i="1" s="1"/>
  <c r="N604" i="1"/>
  <c r="M604" i="1"/>
  <c r="O603" i="1" a="1"/>
  <c r="O603" i="1" s="1"/>
  <c r="N603" i="1"/>
  <c r="M603" i="1"/>
  <c r="O602" i="1"/>
  <c r="O602" i="1" a="1"/>
  <c r="N602" i="1"/>
  <c r="M602" i="1"/>
  <c r="O601" i="1" a="1"/>
  <c r="O601" i="1" s="1"/>
  <c r="N601" i="1"/>
  <c r="M601" i="1"/>
  <c r="O600" i="1" a="1"/>
  <c r="O600" i="1" s="1"/>
  <c r="N600" i="1"/>
  <c r="M600" i="1"/>
  <c r="O599" i="1" a="1"/>
  <c r="O599" i="1" s="1"/>
  <c r="N599" i="1"/>
  <c r="M599" i="1"/>
  <c r="O598" i="1"/>
  <c r="O598" i="1" a="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c r="O590" i="1" a="1"/>
  <c r="N590" i="1"/>
  <c r="M590" i="1"/>
  <c r="O589" i="1" a="1"/>
  <c r="O589" i="1" s="1"/>
  <c r="N589" i="1"/>
  <c r="M589" i="1"/>
  <c r="O588" i="1" a="1"/>
  <c r="O588" i="1" s="1"/>
  <c r="N588" i="1"/>
  <c r="M588" i="1"/>
  <c r="O587" i="1" a="1"/>
  <c r="O587" i="1" s="1"/>
  <c r="N587" i="1"/>
  <c r="M587" i="1"/>
  <c r="O586" i="1"/>
  <c r="O586" i="1" a="1"/>
  <c r="N586" i="1"/>
  <c r="M586" i="1"/>
  <c r="O585" i="1" a="1"/>
  <c r="O585" i="1" s="1"/>
  <c r="N585" i="1"/>
  <c r="M585" i="1"/>
  <c r="O584" i="1"/>
  <c r="O584" i="1" a="1"/>
  <c r="N584" i="1"/>
  <c r="M584" i="1"/>
  <c r="O583" i="1" a="1"/>
  <c r="O583" i="1" s="1"/>
  <c r="N583" i="1"/>
  <c r="M583" i="1"/>
  <c r="O582" i="1" a="1"/>
  <c r="O582" i="1" s="1"/>
  <c r="N582" i="1"/>
  <c r="M582" i="1"/>
  <c r="O581" i="1" a="1"/>
  <c r="O581" i="1" s="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c r="O574" i="1" a="1"/>
  <c r="N574" i="1"/>
  <c r="M574" i="1"/>
  <c r="O573" i="1" a="1"/>
  <c r="O573" i="1" s="1"/>
  <c r="N573" i="1"/>
  <c r="M573" i="1"/>
  <c r="O572" i="1" a="1"/>
  <c r="O572" i="1" s="1"/>
  <c r="N572" i="1"/>
  <c r="M572" i="1"/>
  <c r="O571" i="1" a="1"/>
  <c r="O571" i="1" s="1"/>
  <c r="N571" i="1"/>
  <c r="M571" i="1"/>
  <c r="O570" i="1"/>
  <c r="O570" i="1" a="1"/>
  <c r="N570" i="1"/>
  <c r="M570" i="1"/>
  <c r="O569" i="1" a="1"/>
  <c r="O569" i="1" s="1"/>
  <c r="N569" i="1"/>
  <c r="M569" i="1"/>
  <c r="O568" i="1"/>
  <c r="O568" i="1" a="1"/>
  <c r="N568" i="1"/>
  <c r="M568" i="1"/>
  <c r="O567" i="1" a="1"/>
  <c r="O567" i="1" s="1"/>
  <c r="N567" i="1"/>
  <c r="M567" i="1"/>
  <c r="O566" i="1"/>
  <c r="O566" i="1" a="1"/>
  <c r="N566" i="1"/>
  <c r="M566" i="1"/>
  <c r="O565" i="1" a="1"/>
  <c r="O565" i="1" s="1"/>
  <c r="N565" i="1"/>
  <c r="M565" i="1"/>
  <c r="O564" i="1"/>
  <c r="O564" i="1" a="1"/>
  <c r="N564" i="1"/>
  <c r="M564" i="1"/>
  <c r="O563" i="1" a="1"/>
  <c r="O563" i="1" s="1"/>
  <c r="N563" i="1"/>
  <c r="M563" i="1"/>
  <c r="O562" i="1"/>
  <c r="O562" i="1" a="1"/>
  <c r="N562" i="1"/>
  <c r="M562" i="1"/>
  <c r="O561" i="1" a="1"/>
  <c r="O561" i="1" s="1"/>
  <c r="N561" i="1"/>
  <c r="M561" i="1"/>
  <c r="O560" i="1"/>
  <c r="O560" i="1" a="1"/>
  <c r="N560" i="1"/>
  <c r="M560" i="1"/>
  <c r="O559" i="1" a="1"/>
  <c r="O559" i="1" s="1"/>
  <c r="N559" i="1"/>
  <c r="M559" i="1"/>
  <c r="O558" i="1"/>
  <c r="O558" i="1" a="1"/>
  <c r="N558" i="1"/>
  <c r="M558" i="1"/>
  <c r="O557" i="1" a="1"/>
  <c r="O557" i="1" s="1"/>
  <c r="N557" i="1"/>
  <c r="M557" i="1"/>
  <c r="O556" i="1"/>
  <c r="O556" i="1" a="1"/>
  <c r="N556" i="1"/>
  <c r="M556" i="1"/>
  <c r="O555" i="1" a="1"/>
  <c r="O555" i="1" s="1"/>
  <c r="N555" i="1"/>
  <c r="M555" i="1"/>
  <c r="O554" i="1"/>
  <c r="O554" i="1" a="1"/>
  <c r="N554" i="1"/>
  <c r="M554" i="1"/>
  <c r="O553" i="1" a="1"/>
  <c r="O553" i="1" s="1"/>
  <c r="N553" i="1"/>
  <c r="M553" i="1"/>
  <c r="O552" i="1"/>
  <c r="O552" i="1" a="1"/>
  <c r="N552" i="1"/>
  <c r="M552" i="1"/>
  <c r="O551" i="1" a="1"/>
  <c r="O551" i="1" s="1"/>
  <c r="N551" i="1"/>
  <c r="M551" i="1"/>
  <c r="O550" i="1"/>
  <c r="O550" i="1" a="1"/>
  <c r="N550" i="1"/>
  <c r="M550" i="1"/>
  <c r="O549" i="1" a="1"/>
  <c r="O549" i="1" s="1"/>
  <c r="N549" i="1"/>
  <c r="M549" i="1"/>
  <c r="O548" i="1"/>
  <c r="O548" i="1" a="1"/>
  <c r="N548" i="1"/>
  <c r="M548" i="1"/>
  <c r="O547" i="1" a="1"/>
  <c r="O547" i="1" s="1"/>
  <c r="N547" i="1"/>
  <c r="M547" i="1"/>
  <c r="O546" i="1"/>
  <c r="O546" i="1" a="1"/>
  <c r="N546" i="1"/>
  <c r="M546" i="1"/>
  <c r="O545" i="1" a="1"/>
  <c r="O545" i="1" s="1"/>
  <c r="N545" i="1"/>
  <c r="M545" i="1"/>
  <c r="O544" i="1"/>
  <c r="O544" i="1" a="1"/>
  <c r="N544" i="1"/>
  <c r="M544" i="1"/>
  <c r="O543" i="1" a="1"/>
  <c r="O543" i="1" s="1"/>
  <c r="N543" i="1"/>
  <c r="M543" i="1"/>
  <c r="O542" i="1"/>
  <c r="O542" i="1" a="1"/>
  <c r="N542" i="1"/>
  <c r="M542" i="1"/>
  <c r="O541" i="1" a="1"/>
  <c r="O541" i="1" s="1"/>
  <c r="N541" i="1"/>
  <c r="M541" i="1"/>
  <c r="O540" i="1" a="1"/>
  <c r="O540" i="1" s="1"/>
  <c r="N540" i="1"/>
  <c r="M540" i="1"/>
  <c r="O539" i="1" a="1"/>
  <c r="O539" i="1" s="1"/>
  <c r="N539" i="1"/>
  <c r="M539" i="1"/>
  <c r="O538" i="1"/>
  <c r="O538" i="1" a="1"/>
  <c r="N538" i="1"/>
  <c r="M538" i="1"/>
  <c r="O537" i="1" a="1"/>
  <c r="O537" i="1" s="1"/>
  <c r="N537" i="1"/>
  <c r="M537" i="1"/>
  <c r="O536" i="1"/>
  <c r="O536" i="1" a="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c r="O530" i="1" a="1"/>
  <c r="N530" i="1"/>
  <c r="M530" i="1"/>
  <c r="O529" i="1" a="1"/>
  <c r="O529" i="1" s="1"/>
  <c r="N529" i="1"/>
  <c r="M529" i="1"/>
  <c r="O528" i="1" a="1"/>
  <c r="O528" i="1" s="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c r="O522" i="1" a="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c r="O514" i="1" a="1"/>
  <c r="N514" i="1"/>
  <c r="M514" i="1"/>
  <c r="O513" i="1" a="1"/>
  <c r="O513" i="1" s="1"/>
  <c r="N513" i="1"/>
  <c r="M513" i="1"/>
  <c r="O512" i="1" a="1"/>
  <c r="O512" i="1" s="1"/>
  <c r="N512" i="1"/>
  <c r="M512" i="1"/>
  <c r="O511" i="1" a="1"/>
  <c r="O511" i="1" s="1"/>
  <c r="N511" i="1"/>
  <c r="M511" i="1"/>
  <c r="O510" i="1"/>
  <c r="O510" i="1" a="1"/>
  <c r="N510" i="1"/>
  <c r="M510" i="1"/>
  <c r="O509" i="1" a="1"/>
  <c r="O509" i="1" s="1"/>
  <c r="N509" i="1"/>
  <c r="M509" i="1"/>
  <c r="O508" i="1" a="1"/>
  <c r="O508" i="1" s="1"/>
  <c r="N508" i="1"/>
  <c r="M508" i="1"/>
  <c r="O507" i="1" a="1"/>
  <c r="O507" i="1" s="1"/>
  <c r="N507" i="1"/>
  <c r="M507" i="1"/>
  <c r="O506" i="1"/>
  <c r="O506" i="1" a="1"/>
  <c r="N506" i="1"/>
  <c r="M506" i="1"/>
  <c r="O505" i="1" a="1"/>
  <c r="O505" i="1" s="1"/>
  <c r="N505" i="1"/>
  <c r="M505" i="1"/>
  <c r="O504" i="1"/>
  <c r="O504" i="1" a="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c r="O498" i="1" a="1"/>
  <c r="N498" i="1"/>
  <c r="M498" i="1"/>
  <c r="O497" i="1" a="1"/>
  <c r="O497" i="1" s="1"/>
  <c r="N497" i="1"/>
  <c r="M497" i="1"/>
  <c r="O496" i="1" a="1"/>
  <c r="O496" i="1" s="1"/>
  <c r="N496" i="1"/>
  <c r="M496" i="1"/>
  <c r="O495" i="1" a="1"/>
  <c r="O495" i="1" s="1"/>
  <c r="N495" i="1"/>
  <c r="M495" i="1"/>
  <c r="O494" i="1"/>
  <c r="O494" i="1" a="1"/>
  <c r="N494" i="1"/>
  <c r="M494" i="1"/>
  <c r="O493" i="1" a="1"/>
  <c r="O493" i="1" s="1"/>
  <c r="N493" i="1"/>
  <c r="M493" i="1"/>
  <c r="O492" i="1" a="1"/>
  <c r="O492" i="1" s="1"/>
  <c r="N492" i="1"/>
  <c r="M492" i="1"/>
  <c r="O491" i="1" a="1"/>
  <c r="O491" i="1" s="1"/>
  <c r="N491" i="1"/>
  <c r="M491" i="1"/>
  <c r="O490" i="1"/>
  <c r="O490" i="1" a="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c r="O482" i="1" a="1"/>
  <c r="N482" i="1"/>
  <c r="M482" i="1"/>
  <c r="O481" i="1" a="1"/>
  <c r="O481" i="1" s="1"/>
  <c r="N481" i="1"/>
  <c r="M481" i="1"/>
  <c r="O480" i="1" a="1"/>
  <c r="O480" i="1" s="1"/>
  <c r="N480" i="1"/>
  <c r="M480" i="1"/>
  <c r="O479" i="1" a="1"/>
  <c r="O479" i="1" s="1"/>
  <c r="N479" i="1"/>
  <c r="M479" i="1"/>
  <c r="O478" i="1"/>
  <c r="O478" i="1" a="1"/>
  <c r="N478" i="1"/>
  <c r="M478" i="1"/>
  <c r="O477" i="1" a="1"/>
  <c r="O477" i="1" s="1"/>
  <c r="N477" i="1"/>
  <c r="M477" i="1"/>
  <c r="O476" i="1" a="1"/>
  <c r="O476" i="1" s="1"/>
  <c r="N476" i="1"/>
  <c r="M476" i="1"/>
  <c r="O475" i="1" a="1"/>
  <c r="O475" i="1" s="1"/>
  <c r="N475" i="1"/>
  <c r="M475" i="1"/>
  <c r="O474" i="1"/>
  <c r="O474" i="1" a="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c r="O466" i="1" a="1"/>
  <c r="N466" i="1"/>
  <c r="M466" i="1"/>
  <c r="O465" i="1" a="1"/>
  <c r="O465" i="1" s="1"/>
  <c r="N465" i="1"/>
  <c r="M465" i="1"/>
  <c r="O464" i="1" a="1"/>
  <c r="O464" i="1" s="1"/>
  <c r="N464" i="1"/>
  <c r="M464" i="1"/>
  <c r="O463" i="1" a="1"/>
  <c r="O463" i="1" s="1"/>
  <c r="N463" i="1"/>
  <c r="M463" i="1"/>
  <c r="O462" i="1"/>
  <c r="O462" i="1" a="1"/>
  <c r="N462" i="1"/>
  <c r="M462" i="1"/>
  <c r="O461" i="1" a="1"/>
  <c r="O461" i="1" s="1"/>
  <c r="N461" i="1"/>
  <c r="M461" i="1"/>
  <c r="O460" i="1" a="1"/>
  <c r="O460" i="1" s="1"/>
  <c r="N460" i="1"/>
  <c r="M460" i="1"/>
  <c r="O459" i="1" a="1"/>
  <c r="O459" i="1" s="1"/>
  <c r="N459" i="1"/>
  <c r="M459" i="1"/>
  <c r="O458" i="1"/>
  <c r="O458" i="1" a="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c r="O450" i="1" a="1"/>
  <c r="N450" i="1"/>
  <c r="M450" i="1"/>
  <c r="O449" i="1" a="1"/>
  <c r="O449" i="1" s="1"/>
  <c r="N449" i="1"/>
  <c r="M449" i="1"/>
  <c r="O448" i="1" a="1"/>
  <c r="O448" i="1" s="1"/>
  <c r="N448" i="1"/>
  <c r="M448" i="1"/>
  <c r="O447" i="1" a="1"/>
  <c r="O447" i="1" s="1"/>
  <c r="N447" i="1"/>
  <c r="M447" i="1"/>
  <c r="O446" i="1"/>
  <c r="O446" i="1" a="1"/>
  <c r="N446" i="1"/>
  <c r="M446" i="1"/>
  <c r="O445" i="1" a="1"/>
  <c r="O445" i="1" s="1"/>
  <c r="N445" i="1"/>
  <c r="M445" i="1"/>
  <c r="O444" i="1" a="1"/>
  <c r="O444" i="1" s="1"/>
  <c r="N444" i="1"/>
  <c r="M444" i="1"/>
  <c r="O443" i="1" a="1"/>
  <c r="O443" i="1" s="1"/>
  <c r="N443" i="1"/>
  <c r="M443" i="1"/>
  <c r="O442" i="1"/>
  <c r="O442" i="1" a="1"/>
  <c r="N442" i="1"/>
  <c r="M442" i="1"/>
  <c r="O441" i="1" a="1"/>
  <c r="O441" i="1" s="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c r="O434" i="1" a="1"/>
  <c r="N434" i="1"/>
  <c r="M434" i="1"/>
  <c r="O433" i="1" a="1"/>
  <c r="O433" i="1" s="1"/>
  <c r="N433" i="1"/>
  <c r="M433" i="1"/>
  <c r="O432" i="1" a="1"/>
  <c r="O432" i="1" s="1"/>
  <c r="N432" i="1"/>
  <c r="M432" i="1"/>
  <c r="O431" i="1" a="1"/>
  <c r="O431" i="1" s="1"/>
  <c r="N431" i="1"/>
  <c r="M431" i="1"/>
  <c r="O430" i="1"/>
  <c r="O430" i="1" a="1"/>
  <c r="N430" i="1"/>
  <c r="M430" i="1"/>
  <c r="O429" i="1" a="1"/>
  <c r="O429" i="1" s="1"/>
  <c r="N429" i="1"/>
  <c r="M429" i="1"/>
  <c r="O428" i="1" a="1"/>
  <c r="O428" i="1" s="1"/>
  <c r="N428" i="1"/>
  <c r="M428" i="1"/>
  <c r="O427" i="1" a="1"/>
  <c r="O427" i="1" s="1"/>
  <c r="N427" i="1"/>
  <c r="M427" i="1"/>
  <c r="O426" i="1"/>
  <c r="O426" i="1" a="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c r="O418" i="1" a="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a="1"/>
  <c r="O412" i="1" s="1"/>
  <c r="N412" i="1"/>
  <c r="M412" i="1"/>
  <c r="O411" i="1" a="1"/>
  <c r="O411" i="1" s="1"/>
  <c r="N411" i="1"/>
  <c r="M411" i="1"/>
  <c r="O410" i="1"/>
  <c r="O410" i="1" a="1"/>
  <c r="N410" i="1"/>
  <c r="M410" i="1"/>
  <c r="O409" i="1" a="1"/>
  <c r="O409" i="1" s="1"/>
  <c r="N409" i="1"/>
  <c r="M409" i="1"/>
  <c r="O408" i="1"/>
  <c r="O408" i="1" a="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c r="O402" i="1" a="1"/>
  <c r="N402" i="1"/>
  <c r="M402" i="1"/>
  <c r="O401" i="1" a="1"/>
  <c r="O401" i="1" s="1"/>
  <c r="N401" i="1"/>
  <c r="M401" i="1"/>
  <c r="O400" i="1" a="1"/>
  <c r="O400" i="1" s="1"/>
  <c r="N400" i="1"/>
  <c r="M400" i="1"/>
  <c r="O399" i="1" a="1"/>
  <c r="O399" i="1" s="1"/>
  <c r="N399" i="1"/>
  <c r="M399" i="1"/>
  <c r="O398" i="1"/>
  <c r="O398" i="1" a="1"/>
  <c r="N398" i="1"/>
  <c r="M398" i="1"/>
  <c r="O397" i="1" a="1"/>
  <c r="O397" i="1" s="1"/>
  <c r="N397" i="1"/>
  <c r="M397" i="1"/>
  <c r="O396" i="1" a="1"/>
  <c r="O396" i="1" s="1"/>
  <c r="N396" i="1"/>
  <c r="M396" i="1"/>
  <c r="O395" i="1" a="1"/>
  <c r="O395" i="1" s="1"/>
  <c r="N395" i="1"/>
  <c r="M395" i="1"/>
  <c r="O394" i="1"/>
  <c r="O394" i="1" a="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c r="O386" i="1" a="1"/>
  <c r="N386" i="1"/>
  <c r="M386" i="1"/>
  <c r="O385" i="1" a="1"/>
  <c r="O385" i="1" s="1"/>
  <c r="N385" i="1"/>
  <c r="M385" i="1"/>
  <c r="O384" i="1" a="1"/>
  <c r="O384" i="1" s="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c r="O378" i="1" a="1"/>
  <c r="N378" i="1"/>
  <c r="M378" i="1"/>
  <c r="O377" i="1" a="1"/>
  <c r="O377" i="1" s="1"/>
  <c r="N377" i="1"/>
  <c r="M377" i="1"/>
  <c r="O376" i="1"/>
  <c r="O376" i="1" a="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a="1"/>
  <c r="O363" i="1" s="1"/>
  <c r="N363" i="1"/>
  <c r="M363" i="1"/>
  <c r="O362" i="1"/>
  <c r="O362" i="1" a="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c r="O354" i="1" a="1"/>
  <c r="N354" i="1"/>
  <c r="M354" i="1"/>
  <c r="O353" i="1" a="1"/>
  <c r="O353" i="1" s="1"/>
  <c r="N353" i="1"/>
  <c r="M353" i="1"/>
  <c r="O352" i="1" a="1"/>
  <c r="O352" i="1" s="1"/>
  <c r="N352" i="1"/>
  <c r="M352" i="1"/>
  <c r="O351" i="1" a="1"/>
  <c r="O351" i="1" s="1"/>
  <c r="N351" i="1"/>
  <c r="M351" i="1"/>
  <c r="O350" i="1"/>
  <c r="O350" i="1" a="1"/>
  <c r="N350" i="1"/>
  <c r="M350" i="1"/>
  <c r="O349" i="1" a="1"/>
  <c r="O349" i="1" s="1"/>
  <c r="N349" i="1"/>
  <c r="M349" i="1"/>
  <c r="O348" i="1" a="1"/>
  <c r="O348" i="1" s="1"/>
  <c r="N348" i="1"/>
  <c r="M348" i="1"/>
  <c r="O347" i="1" a="1"/>
  <c r="O347" i="1" s="1"/>
  <c r="N347" i="1"/>
  <c r="M347" i="1"/>
  <c r="O346" i="1"/>
  <c r="O346" i="1" a="1"/>
  <c r="N346" i="1"/>
  <c r="M346" i="1"/>
  <c r="O345" i="1" a="1"/>
  <c r="O345" i="1" s="1"/>
  <c r="N345" i="1"/>
  <c r="M345" i="1"/>
  <c r="O344" i="1"/>
  <c r="O344" i="1" a="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c r="O338" i="1" a="1"/>
  <c r="N338" i="1"/>
  <c r="M338" i="1"/>
  <c r="O337" i="1" a="1"/>
  <c r="O337" i="1" s="1"/>
  <c r="N337" i="1"/>
  <c r="M337" i="1"/>
  <c r="O336" i="1" a="1"/>
  <c r="O336" i="1" s="1"/>
  <c r="N336" i="1"/>
  <c r="M336" i="1"/>
  <c r="O335" i="1" a="1"/>
  <c r="O335" i="1" s="1"/>
  <c r="N335" i="1"/>
  <c r="M335" i="1"/>
  <c r="O334" i="1"/>
  <c r="O334" i="1" a="1"/>
  <c r="N334" i="1"/>
  <c r="M334" i="1"/>
  <c r="O333" i="1" a="1"/>
  <c r="O333" i="1" s="1"/>
  <c r="N333" i="1"/>
  <c r="M333" i="1"/>
  <c r="O332" i="1" a="1"/>
  <c r="O332" i="1" s="1"/>
  <c r="N332" i="1"/>
  <c r="M332" i="1"/>
  <c r="O331" i="1" a="1"/>
  <c r="O331" i="1" s="1"/>
  <c r="N331" i="1"/>
  <c r="M331" i="1"/>
  <c r="O330" i="1"/>
  <c r="O330" i="1" a="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c r="O322" i="1" a="1"/>
  <c r="N322" i="1"/>
  <c r="M322" i="1"/>
  <c r="O321" i="1" a="1"/>
  <c r="O321" i="1" s="1"/>
  <c r="N321" i="1"/>
  <c r="M321" i="1"/>
  <c r="O320" i="1" a="1"/>
  <c r="O320" i="1" s="1"/>
  <c r="N320" i="1"/>
  <c r="M320" i="1"/>
  <c r="O319" i="1" a="1"/>
  <c r="O319" i="1" s="1"/>
  <c r="N319" i="1"/>
  <c r="M319" i="1"/>
  <c r="O318" i="1"/>
  <c r="O318" i="1" a="1"/>
  <c r="N318" i="1"/>
  <c r="M318" i="1"/>
  <c r="O317" i="1" a="1"/>
  <c r="O317" i="1" s="1"/>
  <c r="N317" i="1"/>
  <c r="M317" i="1"/>
  <c r="O316" i="1" a="1"/>
  <c r="O316" i="1" s="1"/>
  <c r="N316" i="1"/>
  <c r="M316" i="1"/>
  <c r="O315" i="1" a="1"/>
  <c r="O315" i="1" s="1"/>
  <c r="N315" i="1"/>
  <c r="M315" i="1"/>
  <c r="O314" i="1"/>
  <c r="O314" i="1" a="1"/>
  <c r="N314" i="1"/>
  <c r="M314" i="1"/>
  <c r="O313" i="1" a="1"/>
  <c r="O313" i="1" s="1"/>
  <c r="N313" i="1"/>
  <c r="M313" i="1"/>
  <c r="O312" i="1"/>
  <c r="O312" i="1" a="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c r="O306" i="1" a="1"/>
  <c r="N306" i="1"/>
  <c r="M306" i="1"/>
  <c r="O305" i="1" a="1"/>
  <c r="O305" i="1" s="1"/>
  <c r="N305" i="1"/>
  <c r="M305" i="1"/>
  <c r="O304" i="1" a="1"/>
  <c r="O304" i="1" s="1"/>
  <c r="N304" i="1"/>
  <c r="M304" i="1"/>
  <c r="O303" i="1" a="1"/>
  <c r="O303" i="1" s="1"/>
  <c r="N303" i="1"/>
  <c r="M303" i="1"/>
  <c r="O302" i="1"/>
  <c r="O302" i="1" a="1"/>
  <c r="N302" i="1"/>
  <c r="M302" i="1"/>
  <c r="O301" i="1" a="1"/>
  <c r="O301" i="1" s="1"/>
  <c r="N301" i="1"/>
  <c r="M301" i="1"/>
  <c r="O300" i="1" a="1"/>
  <c r="O300" i="1" s="1"/>
  <c r="N300" i="1"/>
  <c r="M300" i="1"/>
  <c r="O299" i="1" a="1"/>
  <c r="O299" i="1" s="1"/>
  <c r="N299" i="1"/>
  <c r="M299" i="1"/>
  <c r="O298" i="1"/>
  <c r="O298" i="1" a="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c r="O290" i="1" a="1"/>
  <c r="N290" i="1"/>
  <c r="M290" i="1"/>
  <c r="O289" i="1" a="1"/>
  <c r="O289" i="1" s="1"/>
  <c r="N289" i="1"/>
  <c r="M289" i="1"/>
  <c r="O288" i="1" a="1"/>
  <c r="O288" i="1" s="1"/>
  <c r="N288" i="1"/>
  <c r="M288" i="1"/>
  <c r="O287" i="1" a="1"/>
  <c r="O287" i="1" s="1"/>
  <c r="N287" i="1"/>
  <c r="M287" i="1"/>
  <c r="O286" i="1"/>
  <c r="O286" i="1" a="1"/>
  <c r="N286" i="1"/>
  <c r="M286" i="1"/>
  <c r="O285" i="1" a="1"/>
  <c r="O285" i="1" s="1"/>
  <c r="N285" i="1"/>
  <c r="M285" i="1"/>
  <c r="O284" i="1" a="1"/>
  <c r="O284" i="1" s="1"/>
  <c r="N284" i="1"/>
  <c r="M284" i="1"/>
  <c r="O283" i="1" a="1"/>
  <c r="O283" i="1" s="1"/>
  <c r="N283" i="1"/>
  <c r="M283" i="1"/>
  <c r="O282" i="1"/>
  <c r="O282" i="1" a="1"/>
  <c r="N282" i="1"/>
  <c r="M282" i="1"/>
  <c r="O281" i="1" a="1"/>
  <c r="O281" i="1" s="1"/>
  <c r="N281" i="1"/>
  <c r="M281" i="1"/>
  <c r="O280" i="1"/>
  <c r="O280" i="1" a="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c r="O274" i="1" a="1"/>
  <c r="N274" i="1"/>
  <c r="M274" i="1"/>
  <c r="O273" i="1" a="1"/>
  <c r="O273" i="1" s="1"/>
  <c r="N273" i="1"/>
  <c r="M273" i="1"/>
  <c r="O272" i="1" a="1"/>
  <c r="O272" i="1" s="1"/>
  <c r="N272" i="1"/>
  <c r="M272" i="1"/>
  <c r="O271" i="1" a="1"/>
  <c r="O271" i="1" s="1"/>
  <c r="N271" i="1"/>
  <c r="M271" i="1"/>
  <c r="O270" i="1"/>
  <c r="O270" i="1" a="1"/>
  <c r="N270" i="1"/>
  <c r="M270" i="1"/>
  <c r="O269" i="1" a="1"/>
  <c r="O269" i="1" s="1"/>
  <c r="N269" i="1"/>
  <c r="M269" i="1"/>
  <c r="O268" i="1" a="1"/>
  <c r="O268" i="1" s="1"/>
  <c r="N268" i="1"/>
  <c r="M268" i="1"/>
  <c r="O267" i="1" a="1"/>
  <c r="O267" i="1" s="1"/>
  <c r="N267" i="1"/>
  <c r="M267" i="1"/>
  <c r="O266" i="1"/>
  <c r="O266" i="1" a="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c r="O258" i="1" a="1"/>
  <c r="N258" i="1"/>
  <c r="M258" i="1"/>
  <c r="O257" i="1" a="1"/>
  <c r="O257" i="1" s="1"/>
  <c r="N257" i="1"/>
  <c r="M257" i="1"/>
  <c r="O256" i="1" a="1"/>
  <c r="O256" i="1" s="1"/>
  <c r="N256" i="1"/>
  <c r="M256" i="1"/>
  <c r="O255" i="1"/>
  <c r="O255" i="1" a="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c r="O247" i="1" a="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c r="O241" i="1" a="1"/>
  <c r="N241" i="1"/>
  <c r="M241" i="1"/>
  <c r="O240" i="1" a="1"/>
  <c r="O240" i="1" s="1"/>
  <c r="N240" i="1"/>
  <c r="M240" i="1"/>
  <c r="O239" i="1"/>
  <c r="O239" i="1" a="1"/>
  <c r="N239" i="1"/>
  <c r="M239" i="1"/>
  <c r="O238" i="1" a="1"/>
  <c r="O238" i="1" s="1"/>
  <c r="N238" i="1"/>
  <c r="M238" i="1"/>
  <c r="O237" i="1"/>
  <c r="O237" i="1" a="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c r="O231" i="1" a="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c r="O225" i="1" a="1"/>
  <c r="N225" i="1"/>
  <c r="M225" i="1"/>
  <c r="O224" i="1" a="1"/>
  <c r="O224" i="1" s="1"/>
  <c r="N224" i="1"/>
  <c r="M224" i="1"/>
  <c r="O223" i="1"/>
  <c r="O223" i="1" a="1"/>
  <c r="N223" i="1"/>
  <c r="M223" i="1"/>
  <c r="O222" i="1" a="1"/>
  <c r="O222" i="1" s="1"/>
  <c r="N222" i="1"/>
  <c r="M222" i="1"/>
  <c r="O221" i="1"/>
  <c r="O221" i="1" a="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c r="O215" i="1" a="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c r="O209" i="1" a="1"/>
  <c r="N209" i="1"/>
  <c r="M209" i="1"/>
  <c r="O208" i="1" a="1"/>
  <c r="O208" i="1" s="1"/>
  <c r="N208" i="1"/>
  <c r="M208" i="1"/>
  <c r="O207" i="1"/>
  <c r="O207" i="1" a="1"/>
  <c r="N207" i="1"/>
  <c r="M207" i="1"/>
  <c r="O206" i="1" a="1"/>
  <c r="O206" i="1" s="1"/>
  <c r="N206" i="1"/>
  <c r="M206" i="1"/>
  <c r="O205" i="1"/>
  <c r="O205" i="1" a="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c r="O199" i="1" a="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c r="O193" i="1" a="1"/>
  <c r="N193" i="1"/>
  <c r="M193" i="1"/>
  <c r="O192" i="1" a="1"/>
  <c r="O192" i="1" s="1"/>
  <c r="N192" i="1"/>
  <c r="M192" i="1"/>
  <c r="O191" i="1"/>
  <c r="O191" i="1" a="1"/>
  <c r="N191" i="1"/>
  <c r="M191" i="1"/>
  <c r="O190" i="1" a="1"/>
  <c r="O190" i="1" s="1"/>
  <c r="N190" i="1"/>
  <c r="M190" i="1"/>
  <c r="O189" i="1"/>
  <c r="O189" i="1" a="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c r="O183" i="1" a="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c r="O177" i="1" a="1"/>
  <c r="N177" i="1"/>
  <c r="M177" i="1"/>
  <c r="O176" i="1" a="1"/>
  <c r="O176" i="1" s="1"/>
  <c r="N176" i="1"/>
  <c r="M176" i="1"/>
  <c r="O175" i="1"/>
  <c r="O175" i="1" a="1"/>
  <c r="N175" i="1"/>
  <c r="M175" i="1"/>
  <c r="O174" i="1" a="1"/>
  <c r="O174" i="1" s="1"/>
  <c r="N174" i="1"/>
  <c r="M174" i="1"/>
  <c r="O173" i="1"/>
  <c r="O173" i="1" a="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c r="O167" i="1" a="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c r="O161" i="1" a="1"/>
  <c r="N161" i="1"/>
  <c r="M161" i="1"/>
  <c r="O160" i="1" a="1"/>
  <c r="O160" i="1" s="1"/>
  <c r="N160" i="1"/>
  <c r="M160" i="1"/>
  <c r="O159" i="1"/>
  <c r="O159" i="1" a="1"/>
  <c r="N159" i="1"/>
  <c r="M159" i="1"/>
  <c r="O158" i="1" a="1"/>
  <c r="O158" i="1" s="1"/>
  <c r="N158" i="1"/>
  <c r="M158" i="1"/>
  <c r="O157" i="1"/>
  <c r="O157" i="1" a="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c r="O151" i="1" a="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c r="O145" i="1" a="1"/>
  <c r="N145" i="1"/>
  <c r="M145" i="1"/>
  <c r="O144" i="1" a="1"/>
  <c r="O144" i="1" s="1"/>
  <c r="N144" i="1"/>
  <c r="M144" i="1"/>
  <c r="O143" i="1"/>
  <c r="O143" i="1" a="1"/>
  <c r="N143" i="1"/>
  <c r="M143" i="1"/>
  <c r="O142" i="1" a="1"/>
  <c r="O142" i="1" s="1"/>
  <c r="N142" i="1"/>
  <c r="M142" i="1"/>
  <c r="O141" i="1"/>
  <c r="O141" i="1" a="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c r="O135" i="1" a="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c r="O129" i="1" a="1"/>
  <c r="N129" i="1"/>
  <c r="M129" i="1"/>
  <c r="O128" i="1" a="1"/>
  <c r="O128" i="1" s="1"/>
  <c r="N128" i="1"/>
  <c r="M128" i="1"/>
  <c r="O127" i="1"/>
  <c r="O127" i="1" a="1"/>
  <c r="N127" i="1"/>
  <c r="M127" i="1"/>
  <c r="O126" i="1" a="1"/>
  <c r="O126" i="1" s="1"/>
  <c r="N126" i="1"/>
  <c r="M126" i="1"/>
  <c r="O125" i="1"/>
  <c r="O125" i="1" a="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c r="O119" i="1" a="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c r="O113" i="1" a="1"/>
  <c r="N113" i="1"/>
  <c r="M113" i="1"/>
  <c r="O112" i="1" a="1"/>
  <c r="O112" i="1" s="1"/>
  <c r="N112" i="1"/>
  <c r="M112" i="1"/>
  <c r="O111" i="1"/>
  <c r="O111" i="1" a="1"/>
  <c r="N111" i="1"/>
  <c r="M111" i="1"/>
  <c r="O110" i="1" a="1"/>
  <c r="O110" i="1" s="1"/>
  <c r="N110" i="1"/>
  <c r="M110" i="1"/>
  <c r="O109" i="1"/>
  <c r="O109" i="1" a="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c r="O95" i="1" a="1"/>
  <c r="N95" i="1"/>
  <c r="M95" i="1"/>
  <c r="O94" i="1" a="1"/>
  <c r="O94" i="1" s="1"/>
  <c r="N94" i="1"/>
  <c r="M94" i="1"/>
  <c r="O93" i="1"/>
  <c r="O93" i="1" a="1"/>
  <c r="N93" i="1"/>
  <c r="M93" i="1"/>
  <c r="O92" i="1" a="1"/>
  <c r="O92" i="1" s="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a="1"/>
  <c r="O82" i="1" s="1"/>
  <c r="N82" i="1"/>
  <c r="M82" i="1"/>
  <c r="O81" i="1"/>
  <c r="O81" i="1" a="1"/>
  <c r="N81" i="1"/>
  <c r="M81" i="1"/>
  <c r="O80" i="1" a="1"/>
  <c r="O80" i="1" s="1"/>
  <c r="N80" i="1"/>
  <c r="M80" i="1"/>
  <c r="O79" i="1"/>
  <c r="O79" i="1" a="1"/>
  <c r="N79" i="1"/>
  <c r="M79" i="1"/>
  <c r="O78" i="1" a="1"/>
  <c r="O78" i="1" s="1"/>
  <c r="N78" i="1"/>
  <c r="M78" i="1"/>
  <c r="O77" i="1"/>
  <c r="O77" i="1" a="1"/>
  <c r="N77" i="1"/>
  <c r="M77" i="1"/>
  <c r="O76" i="1" a="1"/>
  <c r="O76" i="1" s="1"/>
  <c r="N76" i="1"/>
  <c r="M76" i="1"/>
  <c r="O75" i="1" a="1"/>
  <c r="O75" i="1" s="1"/>
  <c r="N75" i="1"/>
  <c r="M75" i="1"/>
  <c r="O74" i="1" a="1"/>
  <c r="O74" i="1" s="1"/>
  <c r="N74" i="1"/>
  <c r="M74" i="1"/>
  <c r="O73" i="1" a="1"/>
  <c r="O73" i="1" s="1"/>
  <c r="N73" i="1"/>
  <c r="M73" i="1"/>
  <c r="O72" i="1" a="1"/>
  <c r="O72" i="1" s="1"/>
  <c r="N72" i="1"/>
  <c r="M72" i="1"/>
  <c r="O71" i="1"/>
  <c r="O71" i="1" a="1"/>
  <c r="N71" i="1"/>
  <c r="M71" i="1"/>
  <c r="O70" i="1" a="1"/>
  <c r="O70" i="1" s="1"/>
  <c r="N70" i="1"/>
  <c r="M70" i="1"/>
  <c r="O69" i="1" a="1"/>
  <c r="O69" i="1" s="1"/>
  <c r="N69" i="1"/>
  <c r="M69" i="1"/>
  <c r="O68" i="1" a="1"/>
  <c r="O68" i="1" s="1"/>
  <c r="N68" i="1"/>
  <c r="M68" i="1"/>
  <c r="O67" i="1" a="1"/>
  <c r="O67" i="1" s="1"/>
  <c r="N67" i="1"/>
  <c r="M67" i="1"/>
  <c r="O66" i="1" a="1"/>
  <c r="O66" i="1" s="1"/>
  <c r="N66" i="1"/>
  <c r="M66" i="1"/>
  <c r="O65" i="1"/>
  <c r="O65" i="1" a="1"/>
  <c r="N65" i="1"/>
  <c r="M65" i="1"/>
  <c r="O64" i="1" a="1"/>
  <c r="O64" i="1" s="1"/>
  <c r="N64" i="1"/>
  <c r="M64" i="1"/>
  <c r="O63" i="1"/>
  <c r="O63" i="1" a="1"/>
  <c r="N63" i="1"/>
  <c r="M63" i="1"/>
  <c r="O62" i="1" a="1"/>
  <c r="O62" i="1" s="1"/>
  <c r="N62" i="1"/>
  <c r="M62" i="1"/>
  <c r="O61" i="1"/>
  <c r="O61" i="1" a="1"/>
  <c r="N61" i="1"/>
  <c r="M61" i="1"/>
  <c r="O60" i="1" a="1"/>
  <c r="O60" i="1" s="1"/>
  <c r="N60" i="1"/>
  <c r="M60" i="1"/>
  <c r="O59" i="1" a="1"/>
  <c r="O59" i="1" s="1"/>
  <c r="N59" i="1"/>
  <c r="M59" i="1"/>
  <c r="O58" i="1" a="1"/>
  <c r="O58" i="1" s="1"/>
  <c r="N58" i="1"/>
  <c r="M58" i="1"/>
  <c r="O57" i="1" a="1"/>
  <c r="O57" i="1" s="1"/>
  <c r="N57" i="1"/>
  <c r="M57" i="1"/>
  <c r="O56" i="1" a="1"/>
  <c r="O56" i="1" s="1"/>
  <c r="N56" i="1"/>
  <c r="M56" i="1"/>
  <c r="O55" i="1"/>
  <c r="O55" i="1" a="1"/>
  <c r="N55" i="1"/>
  <c r="M55" i="1"/>
  <c r="O54" i="1" a="1"/>
  <c r="O54" i="1" s="1"/>
  <c r="N54" i="1"/>
  <c r="M54" i="1"/>
  <c r="O53" i="1" a="1"/>
  <c r="O53" i="1" s="1"/>
  <c r="N53" i="1"/>
  <c r="M53" i="1"/>
  <c r="O52" i="1" a="1"/>
  <c r="O52" i="1" s="1"/>
  <c r="N52" i="1"/>
  <c r="M52" i="1"/>
  <c r="O51" i="1" a="1"/>
  <c r="O51" i="1" s="1"/>
  <c r="N51" i="1"/>
  <c r="M51" i="1"/>
  <c r="O50" i="1" a="1"/>
  <c r="O50" i="1" s="1"/>
  <c r="N50" i="1"/>
  <c r="M50" i="1"/>
  <c r="O49" i="1"/>
  <c r="O49" i="1" a="1"/>
  <c r="N49" i="1"/>
  <c r="M49" i="1"/>
  <c r="O48" i="1" a="1"/>
  <c r="O48" i="1" s="1"/>
  <c r="N48" i="1"/>
  <c r="M48" i="1"/>
  <c r="O47" i="1"/>
  <c r="O47" i="1" a="1"/>
  <c r="N47" i="1"/>
  <c r="M47" i="1"/>
  <c r="O46" i="1" a="1"/>
  <c r="O46" i="1" s="1"/>
  <c r="N46" i="1"/>
  <c r="M46" i="1"/>
  <c r="O45" i="1"/>
  <c r="O45" i="1" a="1"/>
  <c r="N45" i="1"/>
  <c r="M45" i="1"/>
  <c r="O44" i="1" a="1"/>
  <c r="O44" i="1" s="1"/>
  <c r="N44" i="1"/>
  <c r="M44" i="1"/>
  <c r="O43" i="1" a="1"/>
  <c r="O43" i="1" s="1"/>
  <c r="N43" i="1"/>
  <c r="M43" i="1"/>
  <c r="O42" i="1" a="1"/>
  <c r="O42" i="1" s="1"/>
  <c r="N42" i="1"/>
  <c r="M42" i="1"/>
  <c r="O41" i="1" a="1"/>
  <c r="O41" i="1" s="1"/>
  <c r="N41" i="1"/>
  <c r="M41" i="1"/>
  <c r="O40" i="1" a="1"/>
  <c r="O40" i="1" s="1"/>
  <c r="N40" i="1"/>
  <c r="M40" i="1"/>
  <c r="O39" i="1"/>
  <c r="O39" i="1" a="1"/>
  <c r="N39" i="1"/>
  <c r="M39" i="1"/>
  <c r="O38" i="1" a="1"/>
  <c r="O38" i="1" s="1"/>
  <c r="N38" i="1"/>
  <c r="M38" i="1"/>
  <c r="O37" i="1" a="1"/>
  <c r="O37" i="1" s="1"/>
  <c r="N37" i="1"/>
  <c r="M37" i="1"/>
  <c r="O36" i="1" a="1"/>
  <c r="O36" i="1" s="1"/>
  <c r="N36" i="1"/>
  <c r="M36" i="1"/>
  <c r="O35" i="1" a="1"/>
  <c r="O35" i="1" s="1"/>
  <c r="N35" i="1"/>
  <c r="M35" i="1"/>
  <c r="O34" i="1" a="1"/>
  <c r="O34" i="1" s="1"/>
  <c r="N34" i="1"/>
  <c r="M34" i="1"/>
  <c r="O33" i="1"/>
  <c r="O33" i="1" a="1"/>
  <c r="N33" i="1"/>
  <c r="M33" i="1"/>
  <c r="O32" i="1" a="1"/>
  <c r="O32" i="1" s="1"/>
  <c r="N32" i="1"/>
  <c r="M32" i="1"/>
  <c r="O31" i="1"/>
  <c r="O31" i="1" a="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a="1"/>
  <c r="O24" i="1" s="1"/>
  <c r="N24" i="1"/>
  <c r="M24" i="1"/>
  <c r="O23" i="1"/>
  <c r="O23" i="1" a="1"/>
  <c r="N23" i="1"/>
  <c r="M23" i="1"/>
  <c r="O22" i="1" a="1"/>
  <c r="O22" i="1" s="1"/>
  <c r="N22" i="1"/>
  <c r="M22" i="1"/>
  <c r="O21" i="1" a="1"/>
  <c r="O21" i="1" s="1"/>
  <c r="N21" i="1"/>
  <c r="M21" i="1"/>
  <c r="O20" i="1" a="1"/>
  <c r="O20" i="1" s="1"/>
  <c r="N20" i="1"/>
  <c r="M20" i="1"/>
  <c r="O19" i="1" a="1"/>
  <c r="O19" i="1" s="1"/>
  <c r="N19" i="1"/>
  <c r="M19" i="1"/>
  <c r="O18" i="1" a="1"/>
  <c r="O18" i="1" s="1"/>
  <c r="N18" i="1"/>
  <c r="M18" i="1"/>
  <c r="O17" i="1"/>
  <c r="O17" i="1" a="1"/>
  <c r="N17" i="1"/>
  <c r="M17" i="1"/>
  <c r="O16" i="1" a="1"/>
  <c r="O16" i="1" s="1"/>
  <c r="N16" i="1"/>
  <c r="M16" i="1"/>
  <c r="O15" i="1"/>
  <c r="O15" i="1" a="1"/>
  <c r="N15" i="1"/>
  <c r="M15" i="1"/>
  <c r="O14" i="1" a="1"/>
  <c r="O14" i="1" s="1"/>
  <c r="N14" i="1"/>
  <c r="M14" i="1"/>
  <c r="O13" i="1"/>
  <c r="O13" i="1" a="1"/>
  <c r="N13" i="1"/>
  <c r="M13" i="1"/>
  <c r="O12" i="1" a="1"/>
  <c r="O12" i="1" s="1"/>
  <c r="N12" i="1"/>
  <c r="M12" i="1"/>
  <c r="O11" i="1" a="1"/>
  <c r="O11" i="1" s="1"/>
  <c r="N11" i="1"/>
  <c r="M11" i="1"/>
  <c r="O10" i="1" a="1"/>
  <c r="O10" i="1" s="1"/>
  <c r="N10" i="1"/>
  <c r="M10" i="1"/>
  <c r="O9" i="1" a="1"/>
  <c r="O9" i="1" s="1"/>
  <c r="N9" i="1"/>
  <c r="M9" i="1"/>
  <c r="O8" i="1" a="1"/>
  <c r="O8" i="1" s="1"/>
  <c r="N8" i="1"/>
  <c r="M8" i="1"/>
  <c r="O7" i="1"/>
  <c r="O7" i="1" a="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<sst xmlns="http://schemas.openxmlformats.org/spreadsheetml/2006/main" count="14627" uniqueCount="2534">
  <si>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</si>
  <si>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</si>
  <si>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</si>
  <si>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</si>
  <si>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</si>
  <si>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</si>
  <si>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</si>
  <si>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</si>
  <si>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</si>
  <si>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</si>
  <si>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</si>
  <si>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</si>
  <si>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</si>
  <si>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</si>
  <si>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</si>
  <si>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</si>
  <si>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</si>
  <si>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</si>
  <si>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</si>
  <si>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</si>
  <si>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</si>
  <si>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</si>
  <si>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</si>
  <si>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</si>
  <si>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</si>
  <si>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</si>
  <si>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</si>
  <si>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</si>
  <si>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</si>
  <si>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</si>
  <si>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</si>
  <si>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</si>
  <si>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</si>
  <si>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</si>
  <si>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</si>
  <si>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</si>
  <si>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</si>
  <si>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</si>
  <si>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</si>
  <si>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</si>
  <si>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</si>
  <si>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</si>
  <si>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</si>
  <si>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</si>
  <si>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</si>
  <si>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</si>
  <si>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</si>
  <si>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</si>
  <si>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</si>
  <si>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</si>
  <si>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</si>
  <si>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</si>
  <si>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</si>
  <si>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</si>
  <si>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</si>
  <si>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</si>
  <si>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</si>
  <si>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</si>
  <si>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</si>
  <si>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</si>
  <si>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</si>
  <si>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</si>
  <si>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</si>
  <si>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</si>
  <si>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</si>
  <si>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</si>
  <si>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</si>
  <si>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</si>
  <si>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</si>
  <si>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</si>
  <si>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</si>
  <si>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</si>
  <si>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</si>
  <si>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</si>
  <si>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</si>
  <si>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</si>
  <si>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</si>
  <si>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</si>
  <si>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</si>
  <si>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</si>
  <si>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</si>
  <si>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</si>
  <si>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</si>
  <si>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</si>
  <si>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</si>
  <si>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</si>
  <si>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</si>
  <si>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</si>
  <si>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</si>
  <si>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</si>
  <si>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</si>
  <si>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</si>
  <si>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</si>
  <si>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</si>
  <si>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</si>
  <si>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</si>
  <si>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</si>
  <si>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</si>
  <si>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</si>
  <si>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</si>
  <si>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</si>
  <si>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</si>
  <si>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</si>
  <si>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</si>
  <si>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</si>
  <si>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</si>
  <si>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</si>
  <si>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</si>
  <si>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</si>
  <si>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</si>
  <si>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</si>
  <si>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</si>
  <si>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</si>
  <si>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</si>
  <si>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</si>
  <si>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</si>
  <si>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</si>
  <si>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</si>
  <si>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</si>
  <si>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</si>
  <si>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</si>
  <si>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</si>
  <si>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</si>
  <si>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</si>
  <si>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</si>
  <si>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</si>
  <si>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</si>
  <si>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</si>
  <si>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</si>
  <si>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</si>
  <si>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</si>
  <si>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</si>
  <si>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</si>
  <si>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</si>
  <si>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</si>
  <si>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</si>
  <si>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</si>
  <si>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</si>
  <si>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</si>
  <si>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</si>
  <si>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</si>
  <si>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</si>
  <si>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</si>
  <si>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</si>
  <si>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</si>
  <si>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</si>
  <si>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</si>
  <si>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</si>
  <si>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</si>
  <si>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</si>
  <si>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</si>
  <si>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</si>
  <si>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</si>
  <si>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</si>
  <si>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</si>
  <si>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</si>
  <si>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</si>
  <si>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</si>
  <si>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</si>
  <si>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</si>
  <si>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</si>
  <si>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</si>
  <si>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</si>
  <si>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</si>
  <si>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</si>
  <si>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</si>
  <si>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</si>
  <si>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</si>
  <si>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</si>
  <si>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</si>
  <si>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</si>
  <si>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</si>
  <si>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</si>
  <si>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</si>
  <si>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</si>
  <si>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</si>
  <si>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</si>
  <si>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</si>
  <si>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</si>
  <si>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</si>
  <si>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</si>
  <si>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</si>
  <si>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</si>
  <si>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</si>
  <si>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</si>
  <si>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</si>
  <si>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</si>
  <si>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</si>
  <si>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</si>
  <si>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</si>
  <si>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</si>
  <si>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</si>
  <si>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</si>
  <si>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</si>
  <si>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</si>
  <si>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</si>
  <si>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</si>
  <si>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</si>
  <si>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</si>
  <si>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</si>
  <si>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</si>
  <si>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</si>
  <si>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</si>
  <si>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</si>
  <si>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</si>
  <si>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</si>
  <si>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</si>
  <si>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</si>
  <si>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</si>
  <si>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</si>
  <si>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</si>
  <si>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</si>
  <si>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</si>
  <si>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</si>
  <si>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</si>
  <si>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</si>
  <si>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</si>
  <si>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</si>
  <si>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</si>
  <si>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</si>
  <si>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</si>
  <si>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</si>
  <si>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</si>
  <si>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</si>
  <si>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</si>
  <si>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</si>
  <si>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</si>
  <si>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</si>
  <si>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</si>
  <si>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</si>
  <si>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</si>
  <si>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</si>
  <si>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</si>
  <si>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</si>
  <si>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</si>
  <si>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</si>
  <si>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</si>
  <si>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</si>
  <si>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</si>
  <si>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</si>
  <si>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</si>
  <si>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</si>
  <si>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</si>
  <si>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</si>
  <si>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</si>
  <si>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</si>
  <si>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</si>
  <si>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</si>
  <si>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</si>
  <si>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</si>
  <si>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</si>
  <si>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</si>
  <si>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</si>
  <si>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</si>
  <si>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</si>
  <si>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</si>
  <si>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</si>
  <si>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</si>
  <si>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</si>
  <si>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</si>
  <si>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</si>
  <si>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</si>
  <si>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</si>
  <si>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</si>
  <si>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</si>
  <si>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</si>
  <si>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</si>
  <si>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</si>
  <si>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</si>
  <si>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</si>
  <si>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</si>
  <si>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</si>
  <si>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</si>
  <si>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</si>
  <si>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</si>
  <si>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</si>
  <si>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</si>
  <si>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</si>
  <si>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</si>
  <si>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</si>
  <si>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</si>
  <si>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</si>
  <si>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</si>
  <si>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</si>
  <si>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</si>
  <si>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</si>
  <si>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</si>
  <si>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</si>
  <si>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</si>
  <si>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</si>
  <si>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</si>
  <si>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</si>
  <si>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</si>
  <si>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</si>
  <si>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</si>
  <si>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</si>
  <si>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</si>
  <si>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</si>
  <si>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</si>
  <si>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</si>
  <si>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</si>
  <si>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</si>
  <si>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</si>
  <si>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</si>
  <si>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</si>
  <si>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</si>
  <si>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</si>
  <si>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</si>
  <si>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</si>
  <si>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</si>
  <si>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</si>
  <si>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</si>
  <si>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</si>
  <si>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</si>
  <si>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</si>
  <si>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</si>
  <si>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</si>
  <si>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</si>
  <si>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</si>
  <si>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</si>
  <si>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</si>
  <si>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</si>
  <si>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</si>
  <si>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</si>
  <si>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</si>
  <si>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</si>
  <si>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</si>
  <si>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</si>
  <si>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</si>
  <si>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</si>
  <si>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</si>
  <si>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</si>
  <si>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</si>
  <si>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</si>
  <si>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</si>
  <si>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</si>
  <si>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</si>
  <si>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</si>
  <si>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</si>
  <si>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</si>
  <si>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</si>
  <si>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</si>
  <si>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</si>
  <si>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</si>
  <si>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</si>
  <si>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</si>
  <si>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</si>
  <si>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</si>
  <si>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</si>
  <si>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</si>
  <si>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</si>
  <si>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</si>
  <si>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</si>
  <si>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</si>
  <si>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</si>
  <si>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</si>
  <si>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</si>
  <si>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</si>
  <si>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</si>
  <si>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</si>
  <si>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</si>
  <si>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</si>
  <si>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</si>
  <si>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</si>
  <si>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</si>
  <si>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</si>
  <si>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</si>
  <si>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</si>
  <si>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</si>
  <si>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</si>
  <si>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</si>
  <si>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</si>
  <si>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</si>
  <si>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</si>
  <si>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</si>
  <si>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</si>
  <si>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</si>
  <si>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</si>
  <si>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</si>
  <si>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</si>
  <si>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</si>
  <si>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</si>
  <si>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</si>
  <si>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</si>
  <si>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</si>
  <si>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</si>
  <si>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</si>
  <si>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</si>
  <si>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</si>
  <si>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</si>
  <si>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</si>
  <si>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</si>
  <si>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</si>
  <si>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</si>
  <si>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</si>
  <si>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</si>
  <si>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</si>
  <si>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</si>
  <si>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</si>
  <si>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</si>
  <si>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</si>
  <si>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</si>
  <si>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</si>
  <si>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</si>
  <si>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</si>
  <si>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</si>
  <si>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</si>
  <si>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</si>
  <si>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</si>
  <si>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</si>
  <si>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</si>
  <si>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</si>
  <si>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</si>
  <si>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</si>
  <si>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</si>
  <si>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</si>
  <si>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</si>
  <si>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</si>
  <si>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</si>
  <si>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</si>
  <si>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</si>
  <si>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</si>
  <si>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</si>
  <si>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</si>
  <si>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</si>
  <si>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</si>
  <si>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</si>
  <si>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</si>
  <si>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</si>
  <si>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</si>
  <si>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</si>
  <si>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</si>
  <si>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</si>
  <si>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</si>
  <si>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</si>
  <si>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</si>
  <si>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</si>
  <si>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</si>
  <si>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</si>
  <si>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</si>
  <si>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</si>
  <si>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</si>
  <si>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</si>
  <si>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</si>
  <si>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</si>
  <si>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</si>
  <si>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</si>
  <si>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</si>
  <si>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</si>
  <si>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</si>
  <si>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</si>
  <si>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</si>
  <si>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</si>
  <si>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</si>
  <si>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</si>
  <si>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</si>
  <si>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</si>
  <si>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</si>
  <si>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</si>
  <si>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</si>
  <si>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</si>
  <si>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</si>
  <si>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</si>
  <si>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</si>
  <si>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</si>
  <si>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</si>
  <si>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</si>
  <si>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</si>
  <si>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</si>
  <si>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</si>
  <si>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</si>
  <si>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</si>
  <si>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</si>
  <si>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</si>
  <si>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</si>
  <si>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</si>
  <si>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</si>
  <si>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</si>
  <si>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</si>
  <si>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</si>
  <si>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</si>
  <si>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</si>
  <si>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</si>
  <si>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</si>
  <si>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</si>
  <si>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</si>
  <si>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</si>
  <si>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</si>
  <si>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</si>
  <si>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</si>
  <si>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</si>
  <si>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</si>
  <si>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</si>
  <si>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</si>
  <si>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</si>
  <si>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</si>
  <si>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</si>
  <si>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</si>
  <si>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</si>
  <si>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</si>
  <si>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</si>
  <si>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</si>
  <si>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</si>
  <si>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</si>
  <si>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</si>
  <si>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</si>
  <si>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</si>
  <si>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</si>
  <si>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</si>
  <si>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</si>
  <si>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</si>
  <si>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</si>
  <si>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</si>
  <si>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</si>
  <si>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</si>
  <si>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</si>
  <si>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</si>
  <si>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</si>
  <si>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</si>
  <si>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</si>
  <si>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</si>
  <si>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</si>
  <si>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</si>
  <si>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</si>
  <si>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</si>
  <si>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</si>
  <si>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</si>
  <si>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</si>
  <si>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</si>
  <si>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</si>
  <si>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</si>
  <si>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</si>
  <si>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</si>
  <si>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</si>
  <si>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</si>
  <si>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</si>
  <si>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</si>
  <si>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</si>
  <si>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</si>
  <si>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</si>
  <si>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</si>
  <si>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</si>
  <si>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</si>
  <si>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</si>
  <si>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</si>
  <si>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</si>
  <si>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</si>
  <si>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</si>
  <si>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</si>
  <si>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</si>
  <si>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</si>
  <si>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</si>
  <si>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</si>
  <si>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</si>
  <si>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</si>
  <si>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</si>
  <si>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</si>
  <si>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</si>
  <si>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</si>
  <si>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</si>
  <si>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</si>
  <si>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</si>
  <si>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</si>
  <si>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</si>
  <si>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</si>
  <si>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</si>
  <si>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</si>
  <si>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</si>
  <si>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</si>
  <si>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</si>
  <si>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</si>
  <si>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</si>
  <si>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</si>
  <si>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</si>
  <si>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</si>
  <si>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</si>
  <si>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</si>
  <si>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</si>
  <si>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</si>
  <si>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</si>
  <si>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</si>
  <si>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</si>
  <si>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</si>
  <si>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</si>
  <si>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</si>
  <si>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</si>
  <si>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</si>
  <si>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</si>
  <si>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</si>
  <si>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</si>
  <si>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</si>
  <si>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</si>
  <si>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</si>
  <si>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</si>
  <si>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</si>
  <si>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</si>
  <si>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</si>
  <si>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</si>
  <si>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</si>
  <si>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</si>
  <si>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</si>
  <si>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</si>
  <si>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</si>
  <si>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</si>
  <si>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</si>
  <si>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</si>
  <si>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</si>
  <si>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</si>
  <si>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</si>
  <si>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</si>
  <si>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</si>
  <si>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</si>
  <si>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</si>
  <si>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</si>
  <si>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</si>
  <si>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</si>
  <si>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</si>
  <si>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</si>
  <si>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</si>
  <si>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</si>
  <si>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</si>
  <si>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</si>
  <si>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</si>
  <si>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</si>
  <si>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</si>
  <si>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</si>
  <si>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</si>
  <si>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</si>
  <si>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</si>
  <si>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</si>
  <si>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</si>
  <si>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</si>
  <si>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</si>
  <si>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</si>
  <si>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</si>
  <si>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</si>
  <si>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</si>
  <si>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</si>
  <si>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</si>
  <si>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</si>
  <si>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</si>
  <si>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</si>
  <si>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</si>
  <si>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</si>
  <si>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</si>
  <si>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</si>
  <si>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</si>
  <si>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</si>
  <si>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</si>
  <si>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</si>
  <si>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</si>
  <si>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</si>
  <si>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</si>
  <si>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</si>
  <si>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</si>
  <si>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</si>
  <si>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</si>
  <si>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</si>
  <si>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</si>
  <si>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</si>
  <si>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</si>
  <si>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</si>
  <si>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</si>
  <si>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</si>
  <si>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</si>
  <si>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</si>
  <si>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</si>
  <si>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</si>
  <si>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</si>
  <si>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</si>
  <si>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</si>
  <si>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</si>
  <si>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</si>
  <si>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</si>
  <si>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</si>
  <si>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</si>
  <si>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</si>
  <si>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</si>
  <si>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</si>
  <si>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</si>
  <si>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</si>
  <si>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</si>
  <si>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</si>
  <si>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</si>
  <si>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</si>
  <si>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</si>
  <si>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</si>
  <si>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</si>
  <si>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</si>
  <si>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</si>
  <si>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</si>
  <si>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</si>
  <si>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</si>
  <si>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</si>
  <si>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</si>
  <si>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</si>
  <si>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</si>
  <si>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</si>
  <si>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</si>
  <si>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</si>
  <si>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</si>
  <si>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</si>
  <si>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</si>
  <si>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</si>
  <si>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</si>
  <si>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</si>
  <si>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</si>
  <si>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</si>
  <si>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</si>
  <si>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</si>
  <si>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</si>
  <si>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</si>
  <si>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</si>
  <si>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</si>
  <si>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</si>
  <si>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</si>
  <si>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</si>
  <si>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</si>
  <si>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</si>
  <si>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</si>
  <si>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</si>
  <si>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</si>
  <si>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</si>
  <si>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</si>
  <si>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</si>
  <si>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</si>
  <si>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</si>
  <si>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</si>
  <si>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</si>
  <si>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</si>
  <si>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</si>
  <si>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</si>
  <si>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</si>
  <si>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</si>
  <si>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</si>
  <si>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</si>
  <si>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</si>
  <si>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</si>
  <si>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</si>
  <si>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</si>
  <si>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</si>
  <si>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</si>
  <si>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</si>
  <si>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</si>
  <si>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</si>
  <si>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</si>
  <si>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</si>
  <si>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</si>
  <si>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</si>
  <si>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</si>
  <si>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</si>
  <si>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</si>
  <si>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</si>
  <si>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</si>
  <si>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</si>
  <si>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</si>
  <si>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</si>
  <si>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</si>
  <si>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</si>
  <si>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</si>
  <si>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</si>
  <si>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</si>
  <si>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</si>
  <si>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</si>
  <si>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</si>
  <si>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</si>
  <si>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</si>
  <si>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</si>
  <si>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</si>
  <si>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</si>
  <si>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</si>
  <si>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</si>
  <si>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</si>
  <si>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</si>
  <si>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</si>
  <si>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</si>
  <si>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</si>
  <si>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</si>
  <si>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</si>
  <si>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</si>
  <si>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</si>
  <si>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</si>
  <si>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</si>
  <si>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</si>
  <si>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</si>
  <si>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</si>
  <si>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</si>
  <si>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</si>
  <si>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</si>
  <si>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</si>
  <si>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</si>
  <si>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</si>
  <si>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</si>
  <si>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</si>
  <si>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</si>
  <si>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</si>
  <si>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</si>
  <si>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</si>
  <si>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</si>
  <si>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</si>
  <si>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</si>
  <si>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</si>
  <si>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</si>
  <si>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</si>
  <si>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</si>
  <si>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</si>
  <si>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</si>
  <si>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</si>
  <si>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</si>
  <si>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</si>
  <si>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</si>
  <si>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</si>
  <si>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</si>
  <si>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</si>
  <si>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</si>
  <si>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</si>
  <si>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</si>
  <si>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</si>
  <si>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</si>
  <si>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</si>
  <si>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</si>
  <si>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</si>
  <si>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</si>
  <si>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</si>
  <si>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</si>
  <si>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</si>
  <si>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</si>
  <si>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</si>
  <si>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</si>
  <si>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</si>
  <si>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</si>
  <si>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</si>
  <si>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</si>
  <si>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</si>
  <si>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</si>
  <si>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</si>
  <si>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</si>
  <si>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</si>
  <si>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</si>
  <si>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</si>
  <si>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</si>
  <si>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</si>
  <si>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</si>
  <si>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</si>
  <si>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</si>
  <si>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</si>
  <si>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</si>
  <si>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</si>
  <si>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</si>
  <si>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</si>
  <si>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</si>
  <si>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</si>
  <si>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</si>
  <si>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</si>
  <si>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</si>
  <si>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</si>
  <si>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</si>
  <si>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</si>
  <si>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</si>
  <si>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</si>
  <si>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</si>
  <si>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</si>
  <si>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</si>
  <si>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</si>
  <si>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</si>
  <si>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</si>
  <si>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</si>
  <si>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</si>
  <si>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</si>
  <si>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</si>
  <si>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</si>
  <si>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</si>
  <si>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</si>
  <si>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</si>
  <si>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</si>
  <si>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</si>
  <si>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</si>
  <si>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</si>
  <si>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</si>
  <si>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</si>
  <si>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</si>
  <si>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</si>
  <si>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</si>
  <si>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</si>
  <si>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</si>
  <si>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</si>
  <si>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</si>
  <si>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</si>
  <si>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</si>
  <si>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</si>
  <si>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</si>
  <si>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</si>
  <si>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</si>
  <si>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</si>
  <si>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</si>
  <si>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</si>
  <si>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</si>
  <si>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</si>
  <si>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</si>
  <si>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</si>
  <si>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</si>
  <si>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</si>
  <si>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</si>
  <si>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</si>
  <si>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</si>
  <si>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</si>
  <si>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</si>
  <si>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</si>
  <si>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</si>
  <si>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</si>
  <si>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</si>
  <si>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</si>
  <si>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</si>
  <si>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</si>
  <si>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</si>
  <si>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</si>
  <si>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</si>
  <si>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</si>
  <si>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</si>
  <si>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</si>
  <si>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</si>
  <si>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</si>
  <si>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</si>
  <si>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</si>
  <si>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</si>
  <si>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</si>
  <si>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</si>
  <si>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</si>
  <si>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</si>
  <si>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</si>
  <si>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</si>
  <si>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</si>
  <si>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</si>
  <si>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</si>
  <si>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</si>
  <si>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</si>
  <si>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</si>
  <si>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</si>
  <si>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</si>
  <si>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</si>
  <si>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</si>
  <si>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</si>
  <si>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</si>
  <si>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</si>
  <si>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</si>
  <si>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</si>
  <si>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</si>
  <si>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</si>
  <si>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</si>
  <si>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</si>
  <si>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</si>
  <si>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</si>
  <si>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</si>
  <si>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</si>
  <si>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</si>
  <si>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</si>
  <si>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</si>
  <si>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</si>
  <si>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</si>
  <si>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</si>
  <si>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</si>
  <si>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</si>
  <si>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</si>
  <si>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</si>
  <si>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</si>
  <si>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</si>
  <si>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</si>
  <si>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</si>
  <si>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</si>
  <si>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</si>
  <si>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</si>
  <si>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</si>
  <si>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</si>
  <si>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</si>
  <si>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</si>
  <si>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</si>
  <si>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</si>
  <si>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</si>
  <si>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</si>
  <si>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</si>
  <si>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</si>
  <si>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</si>
  <si>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</si>
  <si>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</si>
  <si>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</si>
  <si>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</si>
  <si>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</si>
  <si>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</si>
  <si>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</si>
  <si>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</si>
  <si>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</si>
  <si>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</si>
  <si>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</si>
  <si>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</si>
  <si>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</si>
  <si>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</si>
  <si>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</si>
  <si>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</si>
  <si>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</si>
  <si>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</si>
  <si>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</si>
  <si>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</si>
  <si>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</si>
  <si>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</si>
  <si>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</si>
  <si>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</si>
  <si>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</si>
  <si>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</si>
  <si>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</si>
  <si>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</si>
  <si>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</si>
  <si>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</si>
  <si>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</si>
  <si>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</si>
  <si>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</si>
  <si>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</si>
  <si>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</si>
  <si>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</si>
  <si>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</si>
  <si>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</si>
  <si>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</si>
  <si>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</si>
  <si>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</si>
  <si>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</si>
  <si>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</si>
  <si>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</si>
  <si>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</si>
  <si>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</si>
  <si>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</si>
  <si>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</si>
  <si>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</si>
  <si>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</si>
  <si>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</si>
  <si>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</si>
  <si>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</si>
  <si>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</si>
  <si>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</si>
  <si>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</si>
  <si>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</si>
  <si>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</si>
  <si>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</si>
  <si>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</si>
  <si>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</si>
  <si>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</si>
  <si>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</si>
  <si>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</si>
  <si>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</si>
  <si>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</si>
  <si>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</si>
  <si>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</si>
  <si>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</si>
  <si>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</si>
  <si>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</si>
  <si>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</si>
  <si>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</si>
  <si>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</si>
  <si>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</si>
  <si>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</si>
  <si>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</si>
  <si>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</si>
  <si>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</si>
  <si>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</si>
  <si>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</si>
  <si>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</si>
  <si>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</si>
  <si>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</si>
  <si>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</si>
  <si>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</si>
  <si>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</si>
  <si>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</si>
  <si>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</si>
  <si>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</si>
  <si>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</si>
  <si>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</si>
  <si>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</si>
  <si>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</si>
  <si>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</si>
  <si>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</si>
  <si>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</si>
  <si>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</si>
  <si>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</si>
  <si>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</si>
  <si>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</si>
  <si>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</si>
  <si>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</si>
  <si>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</si>
  <si>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</si>
  <si>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</si>
  <si>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</si>
  <si>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</si>
  <si>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</si>
  <si>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</si>
  <si>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</si>
  <si>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</si>
  <si>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</si>
  <si>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</si>
  <si>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</si>
  <si>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</si>
  <si>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</si>
  <si>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</si>
  <si>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</si>
  <si>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</si>
  <si>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</si>
  <si>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</si>
  <si>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</si>
  <si>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</si>
  <si>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</si>
  <si>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</si>
  <si>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</si>
  <si>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</si>
  <si>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</si>
  <si>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</si>
  <si>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</si>
  <si>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</si>
  <si>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</si>
  <si>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</si>
  <si>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</si>
  <si>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</si>
  <si>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</si>
  <si>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</si>
  <si>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</si>
  <si>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</si>
  <si>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</si>
  <si>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</si>
  <si>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</si>
  <si>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</si>
  <si>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</si>
  <si>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</si>
  <si>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</si>
  <si>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</si>
  <si>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</si>
  <si>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</si>
  <si>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</si>
  <si>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</si>
  <si>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</si>
  <si>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</si>
  <si>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</si>
  <si>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</si>
  <si>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</si>
  <si>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</si>
  <si>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</si>
  <si>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</si>
  <si>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</si>
  <si>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</si>
  <si>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</si>
  <si>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</si>
  <si>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</si>
  <si>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</si>
  <si>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</si>
  <si>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</si>
  <si>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</si>
  <si>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</si>
  <si>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</si>
  <si>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</si>
  <si>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</si>
  <si>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</si>
  <si>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</si>
  <si>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</si>
  <si>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</si>
  <si>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</si>
  <si>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</si>
  <si>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</si>
  <si>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</si>
  <si>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</si>
  <si>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</si>
  <si>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</si>
  <si>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</si>
  <si>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</si>
  <si>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</si>
  <si>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</si>
  <si>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</si>
  <si>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</si>
  <si>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</si>
  <si>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</si>
  <si>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</si>
  <si>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</si>
  <si>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</si>
  <si>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</si>
  <si>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</si>
  <si>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</si>
  <si>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</si>
  <si>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</si>
  <si>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</si>
  <si>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</si>
  <si>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</si>
  <si>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</si>
  <si>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</si>
  <si>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</si>
  <si>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</si>
  <si>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</si>
  <si>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</si>
  <si>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</si>
  <si>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</si>
  <si>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</si>
  <si>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</si>
  <si>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</si>
  <si>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</si>
  <si>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</si>
  <si>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</si>
  <si>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</si>
  <si>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</si>
  <si>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</si>
  <si>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</si>
  <si>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</si>
  <si>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</si>
  <si>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</si>
  <si>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</si>
  <si>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</si>
  <si>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</si>
  <si>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</si>
  <si>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</si>
  <si>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</si>
  <si>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</si>
  <si>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</si>
  <si>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</si>
  <si>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</si>
  <si>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</si>
  <si>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</si>
  <si>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</si>
  <si>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</si>
  <si>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</si>
  <si>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</si>
  <si>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</si>
  <si>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</si>
  <si>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</si>
  <si>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</si>
  <si>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</si>
  <si>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</si>
  <si>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</si>
  <si>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</si>
  <si>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</si>
  <si>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</si>
  <si>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</si>
  <si>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</si>
  <si>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</si>
  <si>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</si>
  <si>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</si>
  <si>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</si>
  <si>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</si>
  <si>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</si>
  <si>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</si>
  <si>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</si>
  <si>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</si>
  <si>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</si>
  <si>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</si>
  <si>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</si>
  <si>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</si>
  <si>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</si>
  <si>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</si>
  <si>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</si>
  <si>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</si>
  <si>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</si>
  <si>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</si>
  <si>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</si>
  <si>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</si>
  <si>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</si>
  <si>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</si>
  <si>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</si>
  <si>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</si>
  <si>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</si>
  <si>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</si>
  <si>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</si>
  <si>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</si>
  <si>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</si>
  <si>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</si>
  <si>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</si>
  <si>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</si>
  <si>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</si>
  <si>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</si>
  <si>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</si>
  <si>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</si>
  <si>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</si>
  <si>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</si>
  <si>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</si>
  <si>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</si>
  <si>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</si>
  <si>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</si>
  <si>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</si>
  <si>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</si>
  <si>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</si>
  <si>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</si>
  <si>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</si>
  <si>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</si>
  <si>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</si>
  <si>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</si>
  <si>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</si>
  <si>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</si>
  <si>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</si>
  <si>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</si>
  <si>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</si>
  <si>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</si>
  <si>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</si>
  <si>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</si>
  <si>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</si>
  <si>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</si>
  <si>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</si>
  <si>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</si>
  <si>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</si>
  <si>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</si>
  <si>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</si>
  <si>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</si>
  <si>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</si>
  <si>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</si>
  <si>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</si>
  <si>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</si>
  <si>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</si>
  <si>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</si>
  <si>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</si>
  <si>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</si>
  <si>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</si>
  <si>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</si>
  <si>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</si>
  <si>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</si>
  <si>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</si>
  <si>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</si>
  <si>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</si>
  <si>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</si>
  <si>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</si>
  <si>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</si>
  <si>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</si>
  <si>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</si>
  <si>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</si>
  <si>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</si>
  <si>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</si>
  <si>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</si>
  <si>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</si>
  <si>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</si>
  <si>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</si>
  <si>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</si>
  <si>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</si>
  <si>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</si>
  <si>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</si>
  <si>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</si>
  <si>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</si>
  <si>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</si>
  <si>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</si>
  <si>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</si>
  <si>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</si>
  <si>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</si>
  <si>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</si>
  <si>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</si>
  <si>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</si>
  <si>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</si>
  <si>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</si>
  <si>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</si>
  <si>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</si>
  <si>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</si>
  <si>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</si>
  <si>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</si>
  <si>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</si>
  <si>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</si>
  <si>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</si>
  <si>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</si>
  <si>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</si>
  <si>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</si>
  <si>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</si>
  <si>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</si>
  <si>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</si>
  <si>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</si>
  <si>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</si>
  <si>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</si>
  <si>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</si>
  <si>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</si>
  <si>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</si>
  <si>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</si>
  <si>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</si>
  <si>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</si>
  <si>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</si>
  <si>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</si>
  <si>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</si>
  <si>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</si>
  <si>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</si>
  <si>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</si>
  <si>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</si>
  <si>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</si>
  <si>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</si>
  <si>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</si>
  <si>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</si>
  <si>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</si>
  <si>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</si>
  <si>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</si>
  <si>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</si>
  <si>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</si>
  <si>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</si>
  <si>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</si>
  <si>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</si>
  <si>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</si>
  <si>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</si>
  <si>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</si>
  <si>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</si>
  <si>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</si>
  <si>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</si>
  <si>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</si>
  <si>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</si>
  <si>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</si>
  <si>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</si>
  <si>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</si>
  <si>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</si>
  <si>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</si>
  <si>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</si>
  <si>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</si>
  <si>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</si>
  <si>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</si>
  <si>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</si>
  <si>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</si>
  <si>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</si>
  <si>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</si>
  <si>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</si>
  <si>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</si>
  <si>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</si>
  <si>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</si>
  <si>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</si>
  <si>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</si>
  <si>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</si>
  <si>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</si>
  <si>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</si>
  <si>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</si>
  <si>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</si>
  <si>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</si>
  <si>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</si>
  <si>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</si>
  <si>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</si>
  <si>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</si>
  <si>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</si>
  <si>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</si>
  <si>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</si>
  <si>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</si>
  <si>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</si>
  <si>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</si>
  <si>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</si>
  <si>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</si>
  <si>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</si>
  <si>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</si>
  <si>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</si>
  <si>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</si>
  <si>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</si>
  <si>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</si>
  <si>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</si>
  <si>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</si>
  <si>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</si>
  <si>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</si>
  <si>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</si>
  <si>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</si>
  <si>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</si>
  <si>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</si>
  <si>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</si>
  <si>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</si>
  <si>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</si>
  <si>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</si>
  <si>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</si>
  <si>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</si>
  <si>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</si>
  <si>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</si>
  <si>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</si>
  <si>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</si>
  <si>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</si>
  <si>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</si>
  <si>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</si>
  <si>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</si>
  <si>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</si>
  <si>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</si>
  <si>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</si>
  <si>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</si>
  <si>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</si>
  <si>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</si>
  <si>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</si>
  <si>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</si>
  <si>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</si>
  <si>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</si>
  <si>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</si>
  <si>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</si>
  <si>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</si>
  <si>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</si>
  <si>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</si>
  <si>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</si>
  <si>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</si>
  <si>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</si>
  <si>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</si>
  <si>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</si>
  <si>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</si>
  <si>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</si>
  <si>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</si>
  <si>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</si>
  <si>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</si>
  <si>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</si>
  <si>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</si>
  <si>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</si>
  <si>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</si>
  <si>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</si>
  <si>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</si>
  <si>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</si>
  <si>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</si>
  <si>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</si>
  <si>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</si>
  <si>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</si>
  <si>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</si>
  <si>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</si>
  <si>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</si>
  <si>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</si>
  <si>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</si>
  <si>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</si>
  <si>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</si>
  <si>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</si>
  <si>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</si>
  <si>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</si>
  <si>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</si>
  <si>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</si>
  <si>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</si>
  <si>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</si>
  <si>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</si>
  <si>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</si>
  <si>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</si>
  <si>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</si>
  <si>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</si>
  <si>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</si>
  <si>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</si>
  <si>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</si>
  <si>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</si>
  <si>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</si>
  <si>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</si>
  <si>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</si>
  <si>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</si>
  <si>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</si>
  <si>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</si>
  <si>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</si>
  <si>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</si>
  <si>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</si>
  <si>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</si>
  <si>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</si>
  <si>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</si>
  <si>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</si>
  <si>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</si>
  <si>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</si>
  <si>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</si>
  <si>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</si>
  <si>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</si>
  <si>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</si>
  <si>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</si>
  <si>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</si>
  <si>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</si>
  <si>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</si>
  <si>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</si>
  <si>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</si>
  <si>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</si>
  <si>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</si>
  <si>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</si>
  <si>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</si>
  <si>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</si>
  <si>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</si>
  <si>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</si>
  <si>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</si>
  <si>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</si>
  <si>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</si>
  <si>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</si>
  <si>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</si>
  <si>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</si>
  <si>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</si>
  <si>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</si>
  <si>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</si>
  <si>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</si>
  <si>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</si>
  <si>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</si>
  <si>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</si>
  <si>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</si>
  <si>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</si>
  <si>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</si>
  <si>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</si>
  <si>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</si>
  <si>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</si>
  <si>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</si>
  <si>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</si>
  <si>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</si>
  <si>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</si>
  <si>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</si>
  <si>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</si>
  <si>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</si>
  <si>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</si>
  <si>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</si>
  <si>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</si>
  <si>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</si>
  <si>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</si>
  <si>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</si>
  <si>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</si>
  <si>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</si>
  <si>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</si>
  <si>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</si>
  <si>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</si>
  <si>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</si>
  <si>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</si>
  <si>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</si>
  <si>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</si>
  <si>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</si>
  <si>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</si>
  <si>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</si>
  <si>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</si>
  <si>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</si>
  <si>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</si>
  <si>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</si>
  <si>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</si>
  <si>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</si>
  <si>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</si>
  <si>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</si>
  <si>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</si>
  <si>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</si>
  <si>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</si>
  <si>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</si>
  <si>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</si>
  <si>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</si>
  <si>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</si>
  <si>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</si>
  <si>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</si>
  <si>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</si>
  <si>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</si>
  <si>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</si>
  <si>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</si>
  <si>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</si>
  <si>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</si>
  <si>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</si>
  <si>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</si>
  <si>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</si>
  <si>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</si>
  <si>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</si>
  <si>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</si>
  <si>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</si>
  <si>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</si>
  <si>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</si>
  <si>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</si>
  <si>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</si>
  <si>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</si>
  <si>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</si>
  <si>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</si>
  <si>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</si>
  <si>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</si>
  <si>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</si>
  <si>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</si>
  <si>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</si>
  <si>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</si>
  <si>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</si>
  <si>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</si>
  <si>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</si>
  <si>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</si>
  <si>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</si>
  <si>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</si>
  <si>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</si>
  <si>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</si>
  <si>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</si>
  <si>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</si>
  <si>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</si>
  <si>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</si>
  <si>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</si>
  <si>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</si>
  <si>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</si>
  <si>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</si>
  <si>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</si>
  <si>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</si>
  <si>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</si>
  <si>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</si>
  <si>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</si>
  <si>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</si>
  <si>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</si>
  <si>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</si>
  <si>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</si>
  <si>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</si>
  <si>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</si>
  <si>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</si>
  <si>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</si>
  <si>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</si>
  <si>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</si>
  <si>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</si>
  <si>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</si>
  <si>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</si>
  <si>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</si>
  <si>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</si>
  <si>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</si>
  <si>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</si>
  <si>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</si>
  <si>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</si>
  <si>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</si>
  <si>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</si>
  <si>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</si>
  <si>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</si>
  <si>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</si>
  <si>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</si>
  <si>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</si>
  <si>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</si>
  <si>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</si>
  <si>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</si>
  <si>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</si>
  <si>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</si>
  <si>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</si>
  <si>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</si>
  <si>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</si>
  <si>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</si>
  <si>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</si>
  <si>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</si>
  <si>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</si>
  <si>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</si>
  <si>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</si>
  <si>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</si>
  <si>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</si>
  <si>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</si>
  <si>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</si>
  <si>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</si>
  <si>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</si>
  <si>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</si>
  <si>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</si>
  <si>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</si>
  <si>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</si>
  <si>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</si>
  <si>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</si>
  <si>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</si>
  <si>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</si>
  <si>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</si>
  <si>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</si>
  <si>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</si>
  <si>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</si>
  <si>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</si>
  <si>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</si>
  <si>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</si>
  <si>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</si>
  <si>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</si>
  <si>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</si>
  <si>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</si>
  <si>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</si>
  <si>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</si>
  <si>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</si>
  <si>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</si>
  <si>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</si>
  <si>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</si>
  <si>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</si>
  <si>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</si>
  <si>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</si>
  <si>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</si>
  <si>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</si>
  <si>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</si>
  <si>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</si>
  <si>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</si>
  <si>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</si>
  <si>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</si>
  <si>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</si>
  <si>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</si>
  <si>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</si>
  <si>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</si>
  <si>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</si>
  <si>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</si>
  <si>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</si>
  <si>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</si>
  <si>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</si>
  <si>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</si>
  <si>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</si>
  <si>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</si>
  <si>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</si>
  <si>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</si>
  <si>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</si>
  <si>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</si>
  <si>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</si>
  <si>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</si>
  <si>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</si>
  <si>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</si>
  <si>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</si>
  <si>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</si>
  <si>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</si>
  <si>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</si>
  <si>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</si>
  <si>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</si>
  <si>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</si>
  <si>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</si>
  <si>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</si>
  <si>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</si>
  <si>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</si>
  <si>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</si>
  <si>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</si>
  <si>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</si>
  <si>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</si>
  <si>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</si>
  <si>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</si>
  <si>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</si>
  <si>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</si>
  <si>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</si>
  <si>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</si>
  <si>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</si>
  <si>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</si>
  <si>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</si>
  <si>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</si>
  <si>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</si>
  <si>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</si>
  <si>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</si>
  <si>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</si>
  <si>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</si>
  <si>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</si>
  <si>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</si>
  <si>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</si>
  <si>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</si>
  <si>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</si>
  <si>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</si>
  <si>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</si>
  <si>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</si>
  <si>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</si>
  <si>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</si>
  <si>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</si>
  <si>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</si>
  <si>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</si>
  <si>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</si>
  <si>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</si>
  <si>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</si>
  <si>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</si>
  <si>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</si>
  <si>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</si>
  <si>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</si>
  <si>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</si>
  <si>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</si>
  <si>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</si>
  <si>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</si>
  <si>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</si>
  <si>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</si>
  <si>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</si>
  <si>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</si>
  <si>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</si>
  <si>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</si>
  <si>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</si>
  <si>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</si>
  <si>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</si>
  <si>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</si>
  <si>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</si>
  <si>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</si>
  <si>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</si>
  <si>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</si>
  <si>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</si>
  <si>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</si>
  <si>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</si>
  <si>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</si>
  <si>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</si>
  <si>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</si>
  <si>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</si>
  <si>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</si>
  <si>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</si>
  <si>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</si>
  <si>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</si>
  <si>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</si>
  <si>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</si>
  <si>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</si>
  <si>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</si>
  <si>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</si>
  <si>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</si>
  <si>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</si>
  <si>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</si>
  <si>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</si>
  <si>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</si>
  <si>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</si>
  <si>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</si>
  <si>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</si>
  <si>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</si>
  <si>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</si>
  <si>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</si>
  <si>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</si>
  <si>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</si>
  <si>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</si>
  <si>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</si>
  <si>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</si>
  <si>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</si>
  <si>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</si>
  <si>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</si>
  <si>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</si>
  <si>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</si>
  <si>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</si>
  <si>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</si>
  <si>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</si>
  <si>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</si>
  <si>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</si>
  <si>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</si>
  <si>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</si>
  <si>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</si>
  <si>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</si>
  <si>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</si>
  <si>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</si>
  <si>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</si>
  <si>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</si>
  <si>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</si>
  <si>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</si>
  <si>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</si>
  <si>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</si>
  <si>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</si>
  <si>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</si>
  <si>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</si>
  <si>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</si>
  <si>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</si>
  <si>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</si>
  <si>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</si>
  <si>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</si>
  <si>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</si>
  <si>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</si>
  <si>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</si>
  <si>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</si>
  <si>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</si>
  <si>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</si>
  <si>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</si>
  <si>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</si>
  <si>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</si>
  <si>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</si>
  <si>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</si>
  <si>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</si>
  <si>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</si>
  <si>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</si>
  <si>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</si>
  <si>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</si>
  <si>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</si>
  <si>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</si>
  <si>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</si>
  <si>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</si>
  <si>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</si>
  <si>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</si>
  <si>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</si>
  <si>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</si>
  <si>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</si>
  <si>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</si>
  <si>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</si>
  <si>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</si>
  <si>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</si>
  <si>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</si>
  <si>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</si>
  <si>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</si>
  <si>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</si>
  <si>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</si>
  <si>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</si>
  <si>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</si>
  <si>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</si>
  <si>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</si>
  <si>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</si>
  <si>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</si>
  <si>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</si>
  <si>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</si>
  <si>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</si>
  <si>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</si>
  <si>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</si>
  <si>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</si>
  <si>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</si>
  <si>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</si>
  <si>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</si>
  <si>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</si>
  <si>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</si>
  <si>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</si>
  <si>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</si>
  <si>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</si>
  <si>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</si>
  <si>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</si>
  <si>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</si>
  <si>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</si>
  <si>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</si>
  <si>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</si>
  <si>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</si>
  <si>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</si>
  <si>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</si>
  <si>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</si>
  <si>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</si>
  <si>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</si>
  <si>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</si>
  <si>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</si>
  <si>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</si>
  <si>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</si>
  <si>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</si>
  <si>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</si>
  <si>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</si>
  <si>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</si>
  <si>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</si>
  <si>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</si>
  <si>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</si>
  <si>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</si>
  <si>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</si>
  <si>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</si>
  <si>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</si>
  <si>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</si>
  <si>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</si>
  <si>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</si>
  <si>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</si>
  <si>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</si>
  <si>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</si>
  <si>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</si>
  <si>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</si>
  <si>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</si>
  <si>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</si>
  <si>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</si>
  <si>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</si>
  <si>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</si>
  <si>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</si>
  <si>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</si>
  <si>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</si>
  <si>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</si>
  <si>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</si>
  <si>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</si>
  <si>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</si>
  <si>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</si>
  <si>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</si>
  <si>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</si>
  <si>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</si>
  <si>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</si>
  <si>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</si>
  <si>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</si>
  <si>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</si>
  <si>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</si>
  <si>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</si>
  <si>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</si>
  <si>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</si>
  <si>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</si>
  <si>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</si>
  <si>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</si>
  <si>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</si>
  <si>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</si>
  <si>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</si>
  <si>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</si>
  <si>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</si>
  <si>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</si>
  <si>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</si>
  <si>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</si>
  <si>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</si>
  <si>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</si>
  <si>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</si>
  <si>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</si>
  <si>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</si>
  <si>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</si>
  <si>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</si>
  <si>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</si>
  <si>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</si>
  <si>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</si>
  <si>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</si>
  <si>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</si>
  <si>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</si>
  <si>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</si>
  <si>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</si>
  <si>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</si>
  <si>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</si>
  <si>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</si>
  <si>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</si>
  <si>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</si>
  <si>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</si>
  <si>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</si>
  <si>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</si>
  <si>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</si>
  <si>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</si>
  <si>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</si>
  <si>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</si>
  <si>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</si>
  <si>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</si>
  <si>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</si>
  <si>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</si>
  <si>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</si>
  <si>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</si>
  <si>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</si>
  <si>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</si>
  <si>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</si>
  <si>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</si>
  <si>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</si>
  <si>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</si>
  <si>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</si>
  <si>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</si>
  <si>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</si>
  <si>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</si>
  <si>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</si>
  <si>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</si>
  <si>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</si>
  <si>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</si>
  <si>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</si>
  <si>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</si>
  <si>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</si>
  <si>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</si>
  <si>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</si>
  <si>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</si>
  <si>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</si>
  <si>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</si>
  <si>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</si>
  <si>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</si>
  <si>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</si>
  <si>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</si>
  <si>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</si>
  <si>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</si>
  <si>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</si>
  <si>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</si>
  <si>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</si>
  <si>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</si>
  <si>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</si>
  <si>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</si>
  <si>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</si>
  <si>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</si>
  <si>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</si>
  <si>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</si>
  <si>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</si>
  <si>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</si>
  <si>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</si>
  <si>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</si>
  <si>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</si>
  <si>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</si>
  <si>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</si>
  <si>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</si>
  <si>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</si>
  <si>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</si>
  <si>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</si>
  <si>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</si>
  <si>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</si>
  <si>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</si>
  <si>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</si>
  <si>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</si>
  <si>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</si>
  <si>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</si>
  <si>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</si>
  <si>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</si>
  <si>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</si>
  <si>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</si>
  <si>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</si>
  <si>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</si>
  <si>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</si>
  <si>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</si>
  <si>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</si>
  <si>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</si>
  <si>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</si>
  <si>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</si>
  <si>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</si>
  <si>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</si>
  <si>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</si>
  <si>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</si>
  <si>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</si>
  <si>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</si>
  <si>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</si>
  <si>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</si>
  <si>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</si>
  <si>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</si>
  <si>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</si>
  <si>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</si>
  <si>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</si>
  <si>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</si>
  <si>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</si>
  <si>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</si>
  <si>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</si>
  <si>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</si>
  <si>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</si>
  <si>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</si>
  <si>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</si>
  <si>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</si>
  <si>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</si>
  <si>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</si>
  <si>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</si>
  <si>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</si>
  <si>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</si>
  <si>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</si>
  <si>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</si>
  <si>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</si>
  <si>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</si>
  <si>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</si>
  <si>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</si>
  <si>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</si>
  <si>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</si>
  <si>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</si>
  <si>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</si>
  <si>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</si>
  <si>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</si>
  <si>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</si>
  <si>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</si>
  <si>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</si>
  <si>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</si>
  <si>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</si>
  <si>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</si>
  <si>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</si>
  <si>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</si>
  <si>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</si>
  <si>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</si>
  <si>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</si>
  <si>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</si>
  <si>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</si>
  <si>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</si>
  <si>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</si>
  <si>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</si>
  <si>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</si>
  <si>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</si>
  <si>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</si>
  <si>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</si>
  <si>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</si>
  <si>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</si>
  <si>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</si>
  <si>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</si>
  <si>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</si>
  <si>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</si>
  <si>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</si>
  <si>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</si>
  <si>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</si>
  <si>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</si>
  <si>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</si>
  <si>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</si>
  <si>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</si>
  <si>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</si>
  <si>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</si>
  <si>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</si>
  <si>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</si>
  <si>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</si>
  <si>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</si>
  <si>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</si>
  <si>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</si>
  <si>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</si>
  <si>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</si>
  <si>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</si>
  <si>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</si>
  <si>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</si>
  <si>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</si>
  <si>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</si>
  <si>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</si>
  <si>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</si>
  <si>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</si>
  <si>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</si>
  <si>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</si>
  <si>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</si>
  <si>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</si>
  <si>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</si>
  <si>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</si>
  <si>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</si>
  <si>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</si>
  <si>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</si>
  <si>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</si>
  <si>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</si>
  <si>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</si>
  <si>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</si>
  <si>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</si>
  <si>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</si>
  <si>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</si>
  <si>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</si>
  <si>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</si>
  <si>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</si>
  <si>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</si>
  <si>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</si>
  <si>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</si>
  <si>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</si>
  <si>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</si>
  <si>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</si>
  <si>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</si>
  <si>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</si>
  <si>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</si>
  <si>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</si>
  <si>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</si>
  <si>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</si>
  <si>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</si>
  <si>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</si>
  <si>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</si>
  <si>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</si>
  <si>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</si>
  <si>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</si>
  <si>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</si>
  <si>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</si>
  <si>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</si>
  <si>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</si>
  <si>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</si>
  <si>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</si>
  <si>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</si>
  <si>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</si>
  <si>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</si>
  <si>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</si>
  <si>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</si>
  <si>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</si>
  <si>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</si>
  <si>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</si>
  <si>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</si>
  <si>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</si>
  <si>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</si>
  <si>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</si>
  <si>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</si>
  <si>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</si>
  <si>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</si>
  <si>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</si>
  <si>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</si>
  <si>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</si>
  <si>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</si>
  <si>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</si>
  <si>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</si>
  <si>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</si>
  <si>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</si>
  <si>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</si>
  <si>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</si>
  <si>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</si>
  <si>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</si>
  <si>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</si>
  <si>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</si>
  <si>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</si>
  <si>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</si>
  <si>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</si>
  <si>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</si>
  <si>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</si>
  <si>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</si>
  <si>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</si>
  <si>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</si>
  <si>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</si>
  <si>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</si>
  <si>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</si>
  <si>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</si>
  <si>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</si>
  <si>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</si>
  <si>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</si>
  <si>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</si>
  <si>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</si>
  <si>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</si>
  <si>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</si>
  <si>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</si>
  <si>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</si>
  <si>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</si>
  <si>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</si>
  <si>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</si>
  <si>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</si>
  <si>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</si>
  <si>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</si>
  <si>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</si>
  <si>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</si>
  <si>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</si>
  <si>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</si>
  <si>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</si>
  <si>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</si>
  <si>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</si>
  <si>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</si>
  <si>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</si>
  <si>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</si>
  <si>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</si>
  <si>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</si>
  <si>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</si>
  <si>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</si>
  <si>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</si>
  <si>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</si>
  <si>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</si>
  <si>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</si>
  <si>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</si>
  <si>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</si>
  <si>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</si>
  <si>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</si>
  <si>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</si>
  <si>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</si>
  <si>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</si>
  <si>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</si>
  <si>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</si>
  <si>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</si>
  <si>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</si>
  <si>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</si>
  <si>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</si>
  <si>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</si>
  <si>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</si>
  <si>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</si>
  <si>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</si>
  <si>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</si>
  <si>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</si>
  <si>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</si>
  <si>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</si>
  <si>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</si>
  <si>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</si>
  <si>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</si>
  <si>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</si>
  <si>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</si>
  <si>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</si>
  <si>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</si>
  <si>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</si>
  <si>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</si>
  <si>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</si>
  <si>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</si>
  <si>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</si>
  <si>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</si>
  <si>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</si>
  <si>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</si>
  <si>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</si>
  <si>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</si>
  <si>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</si>
  <si>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</si>
  <si>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</si>
  <si>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</si>
  <si>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</si>
  <si>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</si>
  <si>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</si>
  <si>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</si>
  <si>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</si>
  <si>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</si>
  <si>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</si>
  <si>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</si>
  <si>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</si>
  <si>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</si>
  <si>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</si>
  <si>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</si>
  <si>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</si>
  <si>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</si>
  <si>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</si>
  <si>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</si>
  <si>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</si>
  <si>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</si>
  <si>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</si>
  <si>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</si>
  <si>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</si>
  <si>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</si>
  <si>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</si>
  <si>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</si>
  <si>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</si>
  <si>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</si>
  <si>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</si>
  <si>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</si>
  <si>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</si>
  <si>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</si>
  <si>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</si>
  <si>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</si>
  <si>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</si>
  <si>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</si>
  <si>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</si>
  <si>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</si>
  <si>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</si>
  <si>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</si>
  <si>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</si>
  <si>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</si>
  <si>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</si>
  <si>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</si>
  <si>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</si>
  <si>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</si>
  <si>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</si>
  <si>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</si>
  <si>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</si>
  <si>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</si>
  <si>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</si>
  <si>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</si>
  <si>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</si>
  <si>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</si>
  <si>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</si>
  <si>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</si>
  <si>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</si>
  <si>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</si>
  <si>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</si>
  <si>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</si>
  <si>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</si>
  <si>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</si>
  <si>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</si>
  <si>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</si>
  <si>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</si>
  <si>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</si>
  <si>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</si>
  <si>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</si>
  <si>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</si>
  <si>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</si>
  <si>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</si>
  <si>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</si>
  <si>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</si>
  <si>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</si>
  <si>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</si>
  <si>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</si>
  <si>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</si>
  <si>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</si>
  <si>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</si>
  <si>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</si>
  <si>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</si>
  <si>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</si>
  <si>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</si>
  <si>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</si>
  <si>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</si>
  <si>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</si>
  <si>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</si>
  <si>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</si>
  <si>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</si>
  <si>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</si>
  <si>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</si>
  <si>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</si>
  <si>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</si>
  <si>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</si>
  <si>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</si>
  <si>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</si>
  <si>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</si>
  <si>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</si>
  <si>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</si>
  <si>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</si>
  <si>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</si>
  <si>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</si>
  <si>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</si>
  <si>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</si>
  <si>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</si>
  <si>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</si>
  <si>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</si>
  <si>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</si>
  <si>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</si>
  <si>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</si>
  <si>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</si>
  <si>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</si>
  <si>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</si>
  <si>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</si>
  <si>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</si>
  <si>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</si>
  <si>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</si>
  <si>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</si>
  <si>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</si>
  <si>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</si>
  <si>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</si>
  <si>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</si>
  <si>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</si>
  <si>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</si>
  <si>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</si>
  <si>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</si>
  <si>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</si>
  <si>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</si>
  <si>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</si>
  <si>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</si>
  <si>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</si>
  <si>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</si>
  <si>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</si>
  <si>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</si>
  <si>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</si>
  <si>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</si>
  <si>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</si>
  <si>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</si>
  <si>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</si>
  <si>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</si>
  <si>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</si>
  <si>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</si>
  <si>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</si>
  <si>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</si>
  <si>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</si>
  <si>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Average of Days to Deliver</t>
  </si>
  <si>
    <t>Average of Rating C</t>
  </si>
  <si>
    <t>Values for Display</t>
  </si>
  <si>
    <t>Orders</t>
  </si>
  <si>
    <t>Qty</t>
  </si>
  <si>
    <t>Avg.rating</t>
  </si>
  <si>
    <t>Avg.Days</t>
  </si>
  <si>
    <t>Row Labels</t>
  </si>
  <si>
    <t>Grand Total</t>
  </si>
  <si>
    <t>Unknown</t>
  </si>
  <si>
    <t>Male</t>
  </si>
  <si>
    <t>Female</t>
  </si>
  <si>
    <t>Other</t>
  </si>
  <si>
    <t>Column Labels</t>
  </si>
  <si>
    <t>For Matrix</t>
  </si>
  <si>
    <t>For Trends</t>
  </si>
  <si>
    <t>Order Qty Analysis</t>
  </si>
  <si>
    <t>6 To 10</t>
  </si>
  <si>
    <t>More than 10</t>
  </si>
  <si>
    <t>Products by Quantity</t>
  </si>
  <si>
    <t>Map Chart Stuff(Qty)</t>
  </si>
  <si>
    <t>Months (Order Date)</t>
  </si>
  <si>
    <t>Jan</t>
  </si>
  <si>
    <t>Feb</t>
  </si>
  <si>
    <t>Mar</t>
  </si>
  <si>
    <t>Geographical Analysis</t>
  </si>
  <si>
    <t>Shipment Duration Analysis</t>
  </si>
  <si>
    <t>Customer Satisfaction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</si>
</sst>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Red][$$-C09]#,##0"/>
    <numFmt numFmtId="165" formatCode="0.0%"/>
  </numFmts>
  <fonts count="4" x14ac:knownFonts="1">
    <font>
      <sz val="11"/>
      <color theme="1"/>
      <name val="Calibri"/>
      <family val="2"/>
      <scheme val="minor"/>
    </font>
    <font>
      <sz val="11"/>
      <color theme="1"/>
      <name val="Calibri"/>
      <family val="2"/>
      <scheme val="minor"/>
    </font>
    <font>
      <sz val="10"/>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39997558519241921"/>
        <bgColor indexed="65"/>
      </patternFill>
    </fill>
    <fill>
      <patternFill patternType="solid">
        <fgColor theme="5" tint="0.39997558519241921"/>
        <bgColor indexed="65"/>
      </patternFill>
    </fill>
    <fill>
      <patternFill patternType="solid">
        <fgColor theme="0"/>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22">
    <xf numFmtId="0" fontId="0" fillId="0" borderId="0" xfId="0"/>
    <xf numFmtId="15" fontId="0" fillId="0" borderId="0" xfId="0" applyNumberFormat="1"/>
    <xf numFmtId="0" fontId="1" fillId="2" borderId="0" xfId="1"/>
    <xf numFmtId="0" fontId="1" fillId="3" borderId="0" xfId="2"/>
    <xf numFmtId="0" fontId="0" fillId="0" borderId="0" xfId="0" applyAlignment="1">
      <alignment horizontal="left"/>
    </xf>
    <xf numFmtId="0" fontId="0" fillId="0" borderId="0" xfId="0" pivotButton="1"/>
    <xf numFmtId="164" fontId="0" fillId="0" borderId="0" xfId="0" applyNumberFormat="1"/>
    <xf numFmtId="10" fontId="0" fillId="0" borderId="0" xfId="0" applyNumberFormat="1"/>
    <xf numFmtId="0" fontId="2" fillId="4" borderId="1"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165" fontId="2" fillId="4" borderId="5" xfId="0" applyNumberFormat="1" applyFont="1" applyFill="1" applyBorder="1" applyAlignment="1">
      <alignment horizontal="center"/>
    </xf>
    <xf numFmtId="165" fontId="2" fillId="4" borderId="6" xfId="0" applyNumberFormat="1" applyFont="1" applyFill="1" applyBorder="1" applyAlignment="1">
      <alignment horizontal="center"/>
    </xf>
    <xf numFmtId="0" fontId="2" fillId="4" borderId="7" xfId="0" applyFont="1" applyFill="1" applyBorder="1" applyAlignment="1">
      <alignment horizontal="center"/>
    </xf>
    <xf numFmtId="165" fontId="2" fillId="4" borderId="8" xfId="0" applyNumberFormat="1" applyFont="1" applyFill="1" applyBorder="1" applyAlignment="1">
      <alignment horizontal="center"/>
    </xf>
    <xf numFmtId="165" fontId="2" fillId="4" borderId="9" xfId="0" applyNumberFormat="1" applyFont="1" applyFill="1" applyBorder="1" applyAlignment="1">
      <alignment horizontal="center"/>
    </xf>
    <xf numFmtId="0" fontId="3" fillId="0" borderId="0" xfId="0" applyFont="1"/>
    <xf numFmtId="0" fontId="0" fillId="0" borderId="0" xfId="0" applyAlignment="1">
      <alignment vertical="center"/>
    </xf>
    <xf numFmtId="0" fontId="0" fillId="0" borderId="0" xfId="0" applyAlignment="1">
      <alignment horizontal="left"/>
    </xf>
    <xf numFmtId="0" fontId="3" fillId="0" borderId="0" xfId="0" applyFont="1" applyAlignment="1">
      <alignment horizontal="left"/>
    </xf>
    <xf numFmtId="0" fontId="0" fillId="0" borderId="0" xfId="0" applyNumberFormat="1"/>
  </cellXfs>
  <cellStyles count="3">
    <cellStyle name="60% - Accent1" xfId="1" builtinId="32"/>
    <cellStyle name="60% - Accent2" xfId="2" builtinId="36"/>
    <cellStyle name="Normal" xfId="0" builtinId="0"/>
  </cellStyles>
  <dxfs count="70">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167" formatCode="[$$-C09]#,##0.00"/>
    </dxf>
    <dxf>
      <numFmt numFmtId="0" formatCode="General"/>
    </dxf>
    <dxf>
      <numFmt numFmtId="164" formatCode="[$$-C09]#,##0;[Red][$$-C09]#,##0"/>
    </dxf>
    <dxf>
      <numFmt numFmtId="0" formatCode="General"/>
    </dxf>
    <dxf>
      <numFmt numFmtId="0" formatCode="General"/>
    </dxf>
    <dxf>
      <numFmt numFmtId="0" formatCode="General"/>
    </dxf>
    <dxf>
      <numFmt numFmtId="166" formatCode="d\-mmm\-yy"/>
    </dxf>
    <dxf>
      <numFmt numFmtId="166" formatCode="d\-mmm\-yy"/>
    </dxf>
    <dxf>
      <numFmt numFmtId="164" formatCode="[$$-C09]#,##0;[Red][$$-C09]#,##0"/>
    </dxf>
    <dxf>
      <numFmt numFmtId="0" formatCode="General"/>
    </dxf>
    <dxf>
      <numFmt numFmtId="167" formatCode="[$$-C09]#,##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dashboard.xlsx]Pivot!Pvt Trend</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Last</a:t>
            </a:r>
            <a:r>
              <a:rPr lang="en-IN" b="1" baseline="0">
                <a:solidFill>
                  <a:schemeClr val="tx1"/>
                </a:solidFill>
              </a:rPr>
              <a:t> 23 week Trends-Qty &amp; Amount?</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60886553414349E-2"/>
          <c:y val="0.14274341500788612"/>
          <c:w val="0.75145227968666439"/>
          <c:h val="0.71952566687140951"/>
        </c:manualLayout>
      </c:layout>
      <c:lineChart>
        <c:grouping val="standard"/>
        <c:varyColors val="0"/>
        <c:ser>
          <c:idx val="0"/>
          <c:order val="0"/>
          <c:tx>
            <c:strRef>
              <c:f>Pivot!$B$10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63A-471E-A620-0E540CE70333}"/>
            </c:ext>
          </c:extLst>
        </c:ser>
        <c:dLbls>
          <c:showLegendKey val="0"/>
          <c:showVal val="0"/>
          <c:showCatName val="0"/>
          <c:showSerName val="0"/>
          <c:showPercent val="0"/>
          <c:showBubbleSize val="0"/>
        </c:dLbls>
        <c:marker val="1"/>
        <c:smooth val="0"/>
        <c:axId val="846442640"/>
        <c:axId val="846443120"/>
      </c:lineChart>
      <c:lineChart>
        <c:grouping val="standard"/>
        <c:varyColors val="0"/>
        <c:ser>
          <c:idx val="1"/>
          <c:order val="1"/>
          <c:tx>
            <c:strRef>
              <c:f>Pivot!$C$10</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Pivot!$C$11:$C$24</c:f>
              <c:numCache>
                <c:formatCode>[$$-C09]#,##0;[Red][$$-C09]#,##0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363A-471E-A620-0E540CE70333}"/>
            </c:ext>
          </c:extLst>
        </c:ser>
        <c:dLbls>
          <c:showLegendKey val="0"/>
          <c:showVal val="0"/>
          <c:showCatName val="0"/>
          <c:showSerName val="0"/>
          <c:showPercent val="0"/>
          <c:showBubbleSize val="0"/>
        </c:dLbls>
        <c:marker val="1"/>
        <c:smooth val="0"/>
        <c:axId val="750261936"/>
        <c:axId val="750261456"/>
      </c:lineChart>
      <c:catAx>
        <c:axId val="84644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443120"/>
        <c:crosses val="autoZero"/>
        <c:auto val="1"/>
        <c:lblAlgn val="ctr"/>
        <c:lblOffset val="100"/>
        <c:noMultiLvlLbl val="0"/>
      </c:catAx>
      <c:valAx>
        <c:axId val="84644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442640"/>
        <c:crosses val="autoZero"/>
        <c:crossBetween val="between"/>
      </c:valAx>
      <c:valAx>
        <c:axId val="750261456"/>
        <c:scaling>
          <c:orientation val="minMax"/>
        </c:scaling>
        <c:delete val="0"/>
        <c:axPos val="r"/>
        <c:numFmt formatCode="[$$-C09]#,##0;[Red][$$-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61936"/>
        <c:crosses val="max"/>
        <c:crossBetween val="between"/>
      </c:valAx>
      <c:catAx>
        <c:axId val="750261936"/>
        <c:scaling>
          <c:orientation val="minMax"/>
        </c:scaling>
        <c:delete val="1"/>
        <c:axPos val="b"/>
        <c:numFmt formatCode="General" sourceLinked="1"/>
        <c:majorTickMark val="none"/>
        <c:minorTickMark val="none"/>
        <c:tickLblPos val="nextTo"/>
        <c:crossAx val="7502614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dashboard.xlsx]Pivot!Pvt Product</c:name>
    <c:fmtId val="6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56213357984011E-2"/>
          <c:y val="0.16642594023804297"/>
          <c:w val="0.59229348445784047"/>
          <c:h val="0.78105382937547707"/>
        </c:manualLayout>
      </c:layout>
      <c:barChart>
        <c:barDir val="bar"/>
        <c:grouping val="stacked"/>
        <c:varyColors val="0"/>
        <c:ser>
          <c:idx val="0"/>
          <c:order val="0"/>
          <c:tx>
            <c:strRef>
              <c:f>Pivot!$B$52:$B$53</c:f>
              <c:strCache>
                <c:ptCount val="1"/>
                <c:pt idx="0">
                  <c:v>Female</c:v>
                </c:pt>
              </c:strCache>
            </c:strRef>
          </c:tx>
          <c:spPr>
            <a:solidFill>
              <a:schemeClr val="accent1"/>
            </a:solidFill>
            <a:ln>
              <a:noFill/>
            </a:ln>
            <a:effectLst/>
          </c:spPr>
          <c:invertIfNegative val="0"/>
          <c:cat>
            <c:strRef>
              <c:f>Pivot!$A$54:$A$74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Pivot!$B$54:$B$74</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29DB-4033-B4D7-4855357DE233}"/>
            </c:ext>
          </c:extLst>
        </c:ser>
        <c:ser>
          <c:idx val="1"/>
          <c:order val="1"/>
          <c:tx>
            <c:strRef>
              <c:f>Pivot!$C$52:$C$53</c:f>
              <c:strCache>
                <c:ptCount val="1"/>
                <c:pt idx="0">
                  <c:v>Male</c:v>
                </c:pt>
              </c:strCache>
            </c:strRef>
          </c:tx>
          <c:spPr>
            <a:solidFill>
              <a:schemeClr val="accent2"/>
            </a:solidFill>
            <a:ln>
              <a:noFill/>
            </a:ln>
            <a:effectLst/>
          </c:spPr>
          <c:invertIfNegative val="0"/>
          <c:cat>
            <c:strRef>
              <c:f>Pivot!$A$54:$A$74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Pivot!$C$54:$C$74</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F5D3-47D5-AF32-21306B8E0E1E}"/>
            </c:ext>
          </c:extLst>
        </c:ser>
        <c:ser>
          <c:idx val="2"/>
          <c:order val="2"/>
          <c:tx>
            <c:strRef>
              <c:f>Pivot!$D$52:$D$53</c:f>
              <c:strCache>
                <c:ptCount val="1"/>
                <c:pt idx="0">
                  <c:v>Other</c:v>
                </c:pt>
              </c:strCache>
            </c:strRef>
          </c:tx>
          <c:spPr>
            <a:solidFill>
              <a:schemeClr val="accent3"/>
            </a:solidFill>
            <a:ln>
              <a:noFill/>
            </a:ln>
            <a:effectLst/>
          </c:spPr>
          <c:invertIfNegative val="0"/>
          <c:cat>
            <c:strRef>
              <c:f>Pivot!$A$54:$A$74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Pivot!$D$54:$D$74</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1-F5D3-47D5-AF32-21306B8E0E1E}"/>
            </c:ext>
          </c:extLst>
        </c:ser>
        <c:ser>
          <c:idx val="3"/>
          <c:order val="3"/>
          <c:tx>
            <c:strRef>
              <c:f>Pivot!$E$52:$E$53</c:f>
              <c:strCache>
                <c:ptCount val="1"/>
                <c:pt idx="0">
                  <c:v>Unknown</c:v>
                </c:pt>
              </c:strCache>
            </c:strRef>
          </c:tx>
          <c:spPr>
            <a:solidFill>
              <a:schemeClr val="accent4"/>
            </a:solidFill>
            <a:ln>
              <a:noFill/>
            </a:ln>
            <a:effectLst/>
          </c:spPr>
          <c:invertIfNegative val="0"/>
          <c:cat>
            <c:strRef>
              <c:f>Pivot!$A$54:$A$74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Pivot!$E$54:$E$74</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2-F5D3-47D5-AF32-21306B8E0E1E}"/>
            </c:ext>
          </c:extLst>
        </c:ser>
        <c:dLbls>
          <c:showLegendKey val="0"/>
          <c:showVal val="0"/>
          <c:showCatName val="0"/>
          <c:showSerName val="0"/>
          <c:showPercent val="0"/>
          <c:showBubbleSize val="0"/>
        </c:dLbls>
        <c:gapWidth val="30"/>
        <c:overlap val="100"/>
        <c:axId val="1291461312"/>
        <c:axId val="1291463232"/>
      </c:barChart>
      <c:catAx>
        <c:axId val="1291461312"/>
        <c:scaling>
          <c:orientation val="maxMin"/>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463232"/>
        <c:crosses val="autoZero"/>
        <c:auto val="1"/>
        <c:lblAlgn val="ctr"/>
        <c:lblOffset val="100"/>
        <c:noMultiLvlLbl val="0"/>
      </c:catAx>
      <c:valAx>
        <c:axId val="129146323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a:solidFill>
                      <a:schemeClr val="tx1"/>
                    </a:solidFill>
                  </a:rPr>
                  <a:t>Which</a:t>
                </a:r>
                <a:r>
                  <a:rPr lang="en-IN" sz="1200" b="1" baseline="0">
                    <a:solidFill>
                      <a:schemeClr val="tx1"/>
                    </a:solidFill>
                  </a:rPr>
                  <a:t> products are popular Breakdown by Gender?   </a:t>
                </a:r>
                <a:endParaRPr lang="en-IN" sz="1200" b="1">
                  <a:solidFill>
                    <a:schemeClr val="tx1"/>
                  </a:solidFill>
                </a:endParaRPr>
              </a:p>
            </c:rich>
          </c:tx>
          <c:layout>
            <c:manualLayout>
              <c:xMode val="edge"/>
              <c:yMode val="edge"/>
              <c:x val="8.9983510115697704E-2"/>
              <c:y val="1.614660311552995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46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dashboard.xlsx]Pivot!PivotTable10</c:name>
    <c:fmtId val="7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7.6616921425699952E-2"/>
          <c:y val="6.9503460709435666E-2"/>
          <c:w val="0.45074661736566124"/>
          <c:h val="0.64255284882098207"/>
        </c:manualLayout>
      </c:layout>
      <c:doughnutChart>
        <c:varyColors val="1"/>
        <c:ser>
          <c:idx val="0"/>
          <c:order val="0"/>
          <c:tx>
            <c:strRef>
              <c:f>Pivot!$J$53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98-4E19-A5FC-E838C8FD56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98-4E19-A5FC-E838C8FD56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98-4E19-A5FC-E838C8FD56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98-4E19-A5FC-E838C8FD564D}"/>
              </c:ext>
            </c:extLst>
          </c:dPt>
          <c:cat>
            <c:strRef>
              <c:f>Pivot!$I$54:$I$58</c:f>
              <c:strCache>
                <c:ptCount val="4"/>
                <c:pt idx="0">
                  <c:v>Female</c:v>
                </c:pt>
                <c:pt idx="1">
                  <c:v>Male</c:v>
                </c:pt>
                <c:pt idx="2">
                  <c:v>Other</c:v>
                </c:pt>
                <c:pt idx="3">
                  <c:v>Unknown</c:v>
                </c:pt>
              </c:strCache>
            </c:strRef>
          </c:cat>
          <c:val>
            <c:numRef>
              <c:f>Pivot!$J$54:$J$58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2298-4E19-A5FC-E838C8FD564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dashboard.xlsx]Pivot!Pvt Shipment</c:name>
    <c:fmtId val="6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How</a:t>
            </a:r>
            <a:r>
              <a:rPr lang="en-US" b="1" baseline="0">
                <a:solidFill>
                  <a:schemeClr val="tx1"/>
                </a:solidFill>
              </a:rPr>
              <a:t> long we take to ship?</a:t>
            </a:r>
            <a:endParaRPr lang="en-US" b="1">
              <a:solidFill>
                <a:schemeClr val="tx1"/>
              </a:solidFill>
            </a:endParaRPr>
          </a:p>
        </c:rich>
      </c:tx>
      <c:layout>
        <c:manualLayout>
          <c:xMode val="edge"/>
          <c:yMode val="edge"/>
          <c:x val="0.24308229653653823"/>
          <c:y val="3.81817853842931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5156428274668"/>
          <c:y val="0.25141118508050714"/>
          <c:w val="0.78995578693677659"/>
          <c:h val="0.63774403068826735"/>
        </c:manualLayout>
      </c:layout>
      <c:barChart>
        <c:barDir val="col"/>
        <c:grouping val="stacked"/>
        <c:varyColors val="0"/>
        <c:ser>
          <c:idx val="0"/>
          <c:order val="0"/>
          <c:tx>
            <c:strRef>
              <c:f>Pivot!$B$146</c:f>
              <c:strCache>
                <c:ptCount val="1"/>
                <c:pt idx="0">
                  <c:v>Total</c:v>
                </c:pt>
              </c:strCache>
            </c:strRef>
          </c:tx>
          <c:spPr>
            <a:solidFill>
              <a:schemeClr val="accent1"/>
            </a:solidFill>
            <a:ln>
              <a:noFill/>
            </a:ln>
            <a:effectLst/>
          </c:spPr>
          <c:invertIfNegative val="0"/>
          <c:cat>
            <c:strRef>
              <c:f>Pivot!$A$147:$A$162</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Pivot!$B$147:$B$162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622-477A-A2D7-97518D9A6ADB}"/>
            </c:ext>
          </c:extLst>
        </c:ser>
        <c:dLbls>
          <c:showLegendKey val="0"/>
          <c:showVal val="0"/>
          <c:showCatName val="0"/>
          <c:showSerName val="0"/>
          <c:showPercent val="0"/>
          <c:showBubbleSize val="0"/>
        </c:dLbls>
        <c:gapWidth val="30"/>
        <c:overlap val="100"/>
        <c:axId val="608917519"/>
        <c:axId val="608907919"/>
      </c:barChart>
      <c:catAx>
        <c:axId val="6089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07919"/>
        <c:crosses val="autoZero"/>
        <c:auto val="1"/>
        <c:lblAlgn val="ctr"/>
        <c:lblOffset val="100"/>
        <c:noMultiLvlLbl val="0"/>
      </c:catAx>
      <c:valAx>
        <c:axId val="60890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1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dashboard.xlsx]Pivot!Pvt customer</c:name>
    <c:fmtId val="7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How</a:t>
            </a:r>
            <a:r>
              <a:rPr lang="en-IN" b="1" baseline="0">
                <a:solidFill>
                  <a:schemeClr val="tx1"/>
                </a:solidFill>
              </a:rPr>
              <a:t> satisfied are our customers?</a:t>
            </a: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35716009388414E-2"/>
          <c:y val="0.12861428790665802"/>
          <c:w val="0.86842364961252849"/>
          <c:h val="0.74053403806294371"/>
        </c:manualLayout>
      </c:layout>
      <c:barChart>
        <c:barDir val="col"/>
        <c:grouping val="clustered"/>
        <c:varyColors val="0"/>
        <c:ser>
          <c:idx val="0"/>
          <c:order val="0"/>
          <c:tx>
            <c:strRef>
              <c:f>Pivot!$B$173:$B$174</c:f>
              <c:strCache>
                <c:ptCount val="1"/>
                <c:pt idx="0">
                  <c:v>1</c:v>
                </c:pt>
              </c:strCache>
            </c:strRef>
          </c:tx>
          <c:spPr>
            <a:solidFill>
              <a:schemeClr val="accent1"/>
            </a:solidFill>
            <a:ln>
              <a:noFill/>
            </a:ln>
            <a:effectLst/>
          </c:spPr>
          <c:invertIfNegative val="0"/>
          <c:cat>
            <c:strRef>
              <c:f>Pivot!$A$175:$A$178</c:f>
              <c:strCache>
                <c:ptCount val="3"/>
                <c:pt idx="0">
                  <c:v>Jan</c:v>
                </c:pt>
                <c:pt idx="1">
                  <c:v>Feb</c:v>
                </c:pt>
                <c:pt idx="2">
                  <c:v>Mar</c:v>
                </c:pt>
              </c:strCache>
            </c:strRef>
          </c:cat>
          <c:val>
            <c:numRef>
              <c:f>Pivot!$B$175:$B$178</c:f>
              <c:numCache>
                <c:formatCode>General</c:formatCode>
                <c:ptCount val="3"/>
                <c:pt idx="0">
                  <c:v>7</c:v>
                </c:pt>
                <c:pt idx="1">
                  <c:v>8</c:v>
                </c:pt>
                <c:pt idx="2">
                  <c:v>6</c:v>
                </c:pt>
              </c:numCache>
            </c:numRef>
          </c:val>
          <c:extLst>
            <c:ext xmlns:c16="http://schemas.microsoft.com/office/drawing/2014/chart" uri="{C3380CC4-5D6E-409C-BE32-E72D297353CC}">
              <c16:uniqueId val="{00000000-BB28-48B6-9E59-A197524B0D21}"/>
            </c:ext>
          </c:extLst>
        </c:ser>
        <c:ser>
          <c:idx val="1"/>
          <c:order val="1"/>
          <c:tx>
            <c:strRef>
              <c:f>Pivot!$C$173:$C$174</c:f>
              <c:strCache>
                <c:ptCount val="1"/>
                <c:pt idx="0">
                  <c:v>2</c:v>
                </c:pt>
              </c:strCache>
            </c:strRef>
          </c:tx>
          <c:spPr>
            <a:solidFill>
              <a:schemeClr val="accent2"/>
            </a:solidFill>
            <a:ln>
              <a:noFill/>
            </a:ln>
            <a:effectLst/>
          </c:spPr>
          <c:invertIfNegative val="0"/>
          <c:cat>
            <c:strRef>
              <c:f>Pivot!$A$175:$A$178</c:f>
              <c:strCache>
                <c:ptCount val="3"/>
                <c:pt idx="0">
                  <c:v>Jan</c:v>
                </c:pt>
                <c:pt idx="1">
                  <c:v>Feb</c:v>
                </c:pt>
                <c:pt idx="2">
                  <c:v>Mar</c:v>
                </c:pt>
              </c:strCache>
            </c:strRef>
          </c:cat>
          <c:val>
            <c:numRef>
              <c:f>Pivot!$C$175:$C$178</c:f>
              <c:numCache>
                <c:formatCode>General</c:formatCode>
                <c:ptCount val="3"/>
                <c:pt idx="0">
                  <c:v>37</c:v>
                </c:pt>
                <c:pt idx="1">
                  <c:v>51</c:v>
                </c:pt>
                <c:pt idx="2">
                  <c:v>39</c:v>
                </c:pt>
              </c:numCache>
            </c:numRef>
          </c:val>
          <c:extLst>
            <c:ext xmlns:c16="http://schemas.microsoft.com/office/drawing/2014/chart" uri="{C3380CC4-5D6E-409C-BE32-E72D297353CC}">
              <c16:uniqueId val="{00000001-BB28-48B6-9E59-A197524B0D21}"/>
            </c:ext>
          </c:extLst>
        </c:ser>
        <c:ser>
          <c:idx val="2"/>
          <c:order val="2"/>
          <c:tx>
            <c:strRef>
              <c:f>Pivot!$D$173:$D$174</c:f>
              <c:strCache>
                <c:ptCount val="1"/>
                <c:pt idx="0">
                  <c:v>3</c:v>
                </c:pt>
              </c:strCache>
            </c:strRef>
          </c:tx>
          <c:spPr>
            <a:solidFill>
              <a:srgbClr val="92D050"/>
            </a:solidFill>
            <a:ln>
              <a:noFill/>
            </a:ln>
            <a:effectLst/>
          </c:spPr>
          <c:invertIfNegative val="0"/>
          <c:cat>
            <c:strRef>
              <c:f>Pivot!$A$175:$A$178</c:f>
              <c:strCache>
                <c:ptCount val="3"/>
                <c:pt idx="0">
                  <c:v>Jan</c:v>
                </c:pt>
                <c:pt idx="1">
                  <c:v>Feb</c:v>
                </c:pt>
                <c:pt idx="2">
                  <c:v>Mar</c:v>
                </c:pt>
              </c:strCache>
            </c:strRef>
          </c:cat>
          <c:val>
            <c:numRef>
              <c:f>Pivot!$D$175:$D$178</c:f>
              <c:numCache>
                <c:formatCode>General</c:formatCode>
                <c:ptCount val="3"/>
                <c:pt idx="0">
                  <c:v>150</c:v>
                </c:pt>
                <c:pt idx="1">
                  <c:v>182</c:v>
                </c:pt>
                <c:pt idx="2">
                  <c:v>163</c:v>
                </c:pt>
              </c:numCache>
            </c:numRef>
          </c:val>
          <c:extLst>
            <c:ext xmlns:c16="http://schemas.microsoft.com/office/drawing/2014/chart" uri="{C3380CC4-5D6E-409C-BE32-E72D297353CC}">
              <c16:uniqueId val="{00000002-BB28-48B6-9E59-A197524B0D21}"/>
            </c:ext>
          </c:extLst>
        </c:ser>
        <c:ser>
          <c:idx val="3"/>
          <c:order val="3"/>
          <c:tx>
            <c:strRef>
              <c:f>Pivot!$E$173:$E$174</c:f>
              <c:strCache>
                <c:ptCount val="1"/>
                <c:pt idx="0">
                  <c:v>4</c:v>
                </c:pt>
              </c:strCache>
            </c:strRef>
          </c:tx>
          <c:spPr>
            <a:solidFill>
              <a:schemeClr val="accent4"/>
            </a:solidFill>
            <a:ln>
              <a:noFill/>
            </a:ln>
            <a:effectLst/>
          </c:spPr>
          <c:invertIfNegative val="0"/>
          <c:cat>
            <c:strRef>
              <c:f>Pivot!$A$175:$A$178</c:f>
              <c:strCache>
                <c:ptCount val="3"/>
                <c:pt idx="0">
                  <c:v>Jan</c:v>
                </c:pt>
                <c:pt idx="1">
                  <c:v>Feb</c:v>
                </c:pt>
                <c:pt idx="2">
                  <c:v>Mar</c:v>
                </c:pt>
              </c:strCache>
            </c:strRef>
          </c:cat>
          <c:val>
            <c:numRef>
              <c:f>Pivot!$E$175:$E$178</c:f>
              <c:numCache>
                <c:formatCode>General</c:formatCode>
                <c:ptCount val="3"/>
                <c:pt idx="0">
                  <c:v>312</c:v>
                </c:pt>
                <c:pt idx="1">
                  <c:v>373</c:v>
                </c:pt>
                <c:pt idx="2">
                  <c:v>351</c:v>
                </c:pt>
              </c:numCache>
            </c:numRef>
          </c:val>
          <c:extLst>
            <c:ext xmlns:c16="http://schemas.microsoft.com/office/drawing/2014/chart" uri="{C3380CC4-5D6E-409C-BE32-E72D297353CC}">
              <c16:uniqueId val="{00000003-BB28-48B6-9E59-A197524B0D21}"/>
            </c:ext>
          </c:extLst>
        </c:ser>
        <c:ser>
          <c:idx val="4"/>
          <c:order val="4"/>
          <c:tx>
            <c:strRef>
              <c:f>Pivot!$F$173:$F$174</c:f>
              <c:strCache>
                <c:ptCount val="1"/>
                <c:pt idx="0">
                  <c:v>5</c:v>
                </c:pt>
              </c:strCache>
            </c:strRef>
          </c:tx>
          <c:spPr>
            <a:solidFill>
              <a:schemeClr val="accent5"/>
            </a:solidFill>
            <a:ln>
              <a:noFill/>
            </a:ln>
            <a:effectLst/>
          </c:spPr>
          <c:invertIfNegative val="0"/>
          <c:cat>
            <c:strRef>
              <c:f>Pivot!$A$175:$A$178</c:f>
              <c:strCache>
                <c:ptCount val="3"/>
                <c:pt idx="0">
                  <c:v>Jan</c:v>
                </c:pt>
                <c:pt idx="1">
                  <c:v>Feb</c:v>
                </c:pt>
                <c:pt idx="2">
                  <c:v>Mar</c:v>
                </c:pt>
              </c:strCache>
            </c:strRef>
          </c:cat>
          <c:val>
            <c:numRef>
              <c:f>Pivot!$F$175:$F$178</c:f>
              <c:numCache>
                <c:formatCode>General</c:formatCode>
                <c:ptCount val="3"/>
                <c:pt idx="0">
                  <c:v>224</c:v>
                </c:pt>
                <c:pt idx="1">
                  <c:v>247</c:v>
                </c:pt>
                <c:pt idx="2">
                  <c:v>250</c:v>
                </c:pt>
              </c:numCache>
            </c:numRef>
          </c:val>
          <c:extLst>
            <c:ext xmlns:c16="http://schemas.microsoft.com/office/drawing/2014/chart" uri="{C3380CC4-5D6E-409C-BE32-E72D297353CC}">
              <c16:uniqueId val="{00000001-7630-432E-A68B-D6B5278E3B35}"/>
            </c:ext>
          </c:extLst>
        </c:ser>
        <c:dLbls>
          <c:showLegendKey val="0"/>
          <c:showVal val="0"/>
          <c:showCatName val="0"/>
          <c:showSerName val="0"/>
          <c:showPercent val="0"/>
          <c:showBubbleSize val="0"/>
        </c:dLbls>
        <c:gapWidth val="219"/>
        <c:overlap val="-27"/>
        <c:axId val="608937679"/>
        <c:axId val="608894479"/>
      </c:barChart>
      <c:catAx>
        <c:axId val="60893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894479"/>
        <c:crosses val="autoZero"/>
        <c:auto val="1"/>
        <c:lblAlgn val="ctr"/>
        <c:lblOffset val="100"/>
        <c:noMultiLvlLbl val="0"/>
      </c:catAx>
      <c:valAx>
        <c:axId val="60889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3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dashboard.xlsx]Pivot!Pvt order</c:name>
    <c:fmtId val="6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How</a:t>
            </a:r>
            <a:r>
              <a:rPr lang="en-US" b="1" baseline="0">
                <a:solidFill>
                  <a:schemeClr val="tx1"/>
                </a:solidFill>
              </a:rPr>
              <a:t> many they buy?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92251621904224E-2"/>
          <c:y val="0.24493381670847325"/>
          <c:w val="0.87393894468500555"/>
          <c:h val="0.52932749705690263"/>
        </c:manualLayout>
      </c:layout>
      <c:barChart>
        <c:barDir val="col"/>
        <c:grouping val="stacked"/>
        <c:varyColors val="0"/>
        <c:ser>
          <c:idx val="0"/>
          <c:order val="0"/>
          <c:tx>
            <c:strRef>
              <c:f>Pivot!$B$35</c:f>
              <c:strCache>
                <c:ptCount val="1"/>
                <c:pt idx="0">
                  <c:v>Total</c:v>
                </c:pt>
              </c:strCache>
            </c:strRef>
          </c:tx>
          <c:spPr>
            <a:solidFill>
              <a:schemeClr val="accent1"/>
            </a:solidFill>
            <a:ln>
              <a:noFill/>
            </a:ln>
            <a:effectLst/>
          </c:spPr>
          <c:invertIfNegative val="0"/>
          <c:cat>
            <c:strRef>
              <c:f>Pivot!$A$36:$A$43</c:f>
              <c:strCache>
                <c:ptCount val="7"/>
                <c:pt idx="0">
                  <c:v>1</c:v>
                </c:pt>
                <c:pt idx="1">
                  <c:v>2</c:v>
                </c:pt>
                <c:pt idx="2">
                  <c:v>3</c:v>
                </c:pt>
                <c:pt idx="3">
                  <c:v>4</c:v>
                </c:pt>
                <c:pt idx="4">
                  <c:v>5</c:v>
                </c:pt>
                <c:pt idx="5">
                  <c:v>6 To 10</c:v>
                </c:pt>
                <c:pt idx="6">
                  <c:v>More than 10</c:v>
                </c:pt>
              </c:strCache>
            </c:strRef>
          </c:cat>
          <c:val>
            <c:numRef>
              <c:f>Pivot!$B$36:$B$43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9B96-47B5-A771-D54CC277B3DD}"/>
            </c:ext>
          </c:extLst>
        </c:ser>
        <c:dLbls>
          <c:showLegendKey val="0"/>
          <c:showVal val="0"/>
          <c:showCatName val="0"/>
          <c:showSerName val="0"/>
          <c:showPercent val="0"/>
          <c:showBubbleSize val="0"/>
        </c:dLbls>
        <c:gapWidth val="20"/>
        <c:overlap val="100"/>
        <c:axId val="836916528"/>
        <c:axId val="836928048"/>
      </c:barChart>
      <c:catAx>
        <c:axId val="8369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28048"/>
        <c:crosses val="autoZero"/>
        <c:auto val="1"/>
        <c:lblAlgn val="ctr"/>
        <c:lblOffset val="100"/>
        <c:noMultiLvlLbl val="0"/>
      </c:catAx>
      <c:valAx>
        <c:axId val="83692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1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Where do you customers live?</cx:v>
        </cx:txData>
      </cx:tx>
      <cx:txPr>
        <a:bodyPr spcFirstLastPara="1" vertOverflow="ellipsis" horzOverflow="overflow" wrap="square" lIns="0" tIns="0" rIns="0" bIns="0" anchor="ctr" anchorCtr="1"/>
        <a:lstStyle/>
        <a:p>
          <a:pPr algn="ctr" rtl="0">
            <a:defRPr b="1"/>
          </a:pPr>
          <a:r>
            <a:rPr lang="en-US" sz="1400" b="1" i="0" u="none" strike="noStrike" baseline="0">
              <a:solidFill>
                <a:schemeClr val="tx1"/>
              </a:solidFill>
              <a:latin typeface="Calibri" panose="020F0502020204030204"/>
            </a:rPr>
            <a:t>Where do you customers live?</a:t>
          </a:r>
        </a:p>
      </cx:txPr>
    </cx:title>
    <cx:plotArea>
      <cx:plotAreaRegion>
        <cx:series layoutId="regionMap" uniqueId="{51A558A3-A123-4451-A055-1DE001A82C39}">
          <cx:tx>
            <cx:txData>
              <cx:f>_xlchart.v5.2</cx:f>
              <cx:v>Sum of Quantity</cx:v>
            </cx:txData>
          </cx:tx>
          <cx:spPr>
            <a:ln>
              <a:solidFill>
                <a:schemeClr val="accent6"/>
              </a:solidFill>
            </a:ln>
          </cx:spPr>
          <cx:dataId val="0"/>
          <cx:layoutPr>
            <cx:geography cultureLanguage="en-US" cultureRegion="IN" attribution="Powered by Bing">
              <cx:geoCache provider="{E9337A44-BEBE-4D9F-B70C-5C5E7DAFC167}">
                <cx:binary>5H1Zc9tIsu5fcfj5Qo1agKqaOD0Rg4XUSsmSvPULgpZo7FsV9l9/ErLsEUHKDUU0Hw4vu2c6bDDB
BL7KPSvrfx66fz0km7V816VJpv710P35Pqiq4l9//KEegk26Vidp+CBzlX+vTh7y9I/8+/fwYfPH
o1y3Yeb/gXVE/3gI1rLadO///T9wN3+TX+YP6yrMsw/1Rva3G1UnlfrNtb2X3q0f0zBzQlXJ8KFC
f76310n4PZdZuH6/fQ3DtTyr5Pqdnatq/P86q/r37zZZFVb9fV9s/ny/dTP8/t0f09/c4e9dAo9Q
1Y9ATPiJjrgQhDDx9OHv3yV55j9f1hDGJ4hQbjAEV3787GqdAuVb+Xriav34KDdKwUM+/feVu2w9
EXznPzPfysP4dkZUfADoz/cfs7DaPL67q9bVRr1/F6r86fXJ3s7HR/949/Su/tjG9d//M/kLeHuT
v3kB/fRV/92lbXT/BvnTOv2WJ4/VP4861U8YNxGl2JzCTU+QiYjOMSyK8bMN+ltY2g/4zh1mgL1D
c2RA23lSq0MItzjBusDERIb+9AHtMBVuXefEFNTYxnk+R/tRntDPwHhCcWQI34UqDvu8PoAooxNG
kMGxSX4ILEjsFGOTGKahm2Qb47fwtB/lnTvMwHmH5siQ/k8C1vHxEMLMTrhOQS//BJrtAo0ZpswE
KX9pqN/A0X6YpzeYgfKU5OhALsJs888LM3hjpgBhRQb9IcxTbwyJEwYfw2B0CvJcjl7DeIt+FsRb
FEeGMHjk62Yj1+ogICNhYoQZe8Uq6ycmH+02Be/spSS/ian9OO/eYgbUu0RHhvZ/0vVjLg8CNQGF
rGMO4rptlcEDZxgLoounRYC2kZ7P0H6YJ/QzMJ5QHBnAVl1Vh9DX4sRAIKf6a/oaoxPDoCZCeALw
bIb247tNPgPebYIjQ9fZJO9WOaRp/nkJpuBeGxREdUySjJ8dr4tCjEUJeF0Tt+tNTO1HefcWM5De
JToytL/W3w7hXosTRJFhIPGaVQZR5szkdBpHzeVnP8Zb1DPg3fr+kSHrJu+cXIIp/uflGDxrhoVp
4J9R8k6YDAZZCASZTnOfQX4Ta/uR3r3FDLh3iY4M8wXkg7NDAG6OeRETBBr9UNxTwMdQihvwD5rk
vuZztB/nCf0MkCcUR4bwMtlk2QEkGnwvrIO+3s1hQ8lCcMSIMTHJsznZD+w2+QxctwmODNaveXII
sYUMCGNUgEs9jZjAE2OUIShPbMdKcxnZD+oW9QxMt75/ZJCepcVGhuvkAMKKwbpiblCCfuQ8IBe9
FQ8j4wRy1KCtIVoePxOM38LZfpx37jAD6x2aI8P7Ls/y9BC+ND+hRJiC4Wdfeoo2FJUZMkxKx7zI
ywzXfI72ozyhn4HxhOLYEF5nY9eArIcDyLR5IhhFVEfmDw9rmqwGlCHzxXVdTPKYd2/i6hWkd+8x
B+1dqiND/DaEtLUKHw+QCyHkRHDdIOSHin5S0ttKnJ0QSGpjxCZtA29iaj/eu7eYAfcu0ZGhfZb1
h3DCTCg1YvCuwRH78Zlaaw4etjBNzidNQXP52Y/xFvUMeLe+f2TIXkHb10Zu+oPobZOBk03016wz
OjHBOJtkWkl+C0/7Ed65wwyUd2iODOmLjTxEeGyALn6qTDxra/Cot5W1eOr8QwRDSvulDzaXn/0I
b1HPQHfr+8eGLHSRHqKAbJ4AaNDqQY1X1LM4MeEaFJ2m0M5l6BVst8jngLtFcGToXq7jQzhZIJYQ
JTMdSsNPnz09ewIZyIRaxLbczuVnP7Zb1DOg3fr+0SGr1OYAOhnabqHERLnAP6DVd+Ji6PyAy5Sb
E8G9XM/l6DV0t+hn4btFcWwI5+rdfzJ/k2wOoZ/piW5gTPhP/TwNjBE/wZRAZwiI+fiZJLsu38bc
K4jvuckc2PeQHRn2V+tHaOw6iF8NbV1QdGDP3dZTjwvrJ9CECzkvNAmP53O0H+sJ/QyYJxRHh7AM
D6C+CRsTXgbA+1xEnso1JLwMgkB5i0lYfLWeydBr+L4knwXvS4IjRLfID7Jfgp2AdIL88mcDPZVg
qBkLkzIOee2feZGXkdMI81zOXkd66w4zwd6iOTK8b5IatuodQF8DmMRk0BLy3CGw09qln4ArJgzo
yN72tOdztB/lCf0MjCcUR4bw1SZ7zB/Cg7SBjG1dIKuMPRcepyKNCfTvMZOQsbNvS5jfwtR+nHef
awbUu0RHhvZdsD7IVlaIrmBbhEk4ea2DD58QjnQOe6W2oZ7P0X6cJ/QzQJ5QHBnCVxv5ABtv7X98
szLUl3RTmNx8bsbdccAgwObQwYkY3RdYzedrP84T+hk4TyiODecc1PY/DzP0XFOhg939WVgGcd1K
XUMgZVAMPfdosqXxai5Dr+C7RT4H3i2Co0P3IAYZch+wfe2XCO801IOPjaFrANqwp1EydKvMWWyv
YfuCeha0L75/ZMiuNs36IFtUAToTM0705wzITn4TQc0JNpvTaUfIfI72ozuhn4HvhOLYEF4Xh8hw
gexCUxeFwtKTed3NX+MTmBsBvZt80nm7msnPK+i+pJ6D7cvvHxmy13INees5evCNg2AIdGjC9gdu
vrb1GPafG7Bd0Zymq+dztB/dCf0MfCcUR4bwTbJ+2BxmMypY1RHjH1tOd6UXtDMbO3Txr7Lyy4B4
Pl/7cZ7Qz8B5QnFkON/XMPYlPcgYAUhUcywoBTf6Zxw0daAJxwhxPHGg38LTfpR37jAD5x2aI0P6
bv0gYSpIVs3yX9+otzlkPWBoBIWJAU+fnSzmGE2N/0Az0PiZFBvfxtt+zPfcYwbqe6iODvfsnbWB
KWSHwB16NA087j5/pQkItp5THesw5Wua7Vq/havXEN+5xyzEd6iODfE8Wb+IG3+Yz39mTB9gTfnY
tflTirc1OvTaU8ENfQft2Ry9gvQ2/RyUtymODeEn6ZHZWj4epmABA/hgJBvi5BnpaQyNGARhVAdP
bpLEfjNjrwC+/z5zgN9PeYQLwAk3/iF0+tO2KGbATrlJxhNAR1DZgFXxrO13sZ/N0+uwb99iJuLb
REcI9gIi7odQPeQ/3/k/oc8ZbD7XdQYbKH7FWlN9TmH+rMHJHjH/xdGcNMDrcO/eZibku4RHBvsn
MNz1QXrEYFoMB/WuvzZud8x+CwjBTX3SQvQGlvYjPr3BDKynJEeGMmxDfHeer8v6UM1i0CpGMYjx
02dqx8E/xwJ6+IX4kSzficvexNx+zPc94Qzc95EdIfaXdajeXX8LVXEIW26ApGMTqh2g58fPTuMJ
9HrD1hwYDbZHw7+RtdfR33ejmStgH+mRrYJ7aJOEOepzzOjbsjLjgG3YowMK4Hlv9E5WBkNvGUwv
gdnMP92KH2PV38DSftSnN5iB9pTkyFAe1dkVzIA/hJQ/dYwyBi2Cr2TfoCKGObSg0QnOb2JqP9K7
t5iB9S7R8aENIw+stfy2PpAHBxZ97PF+fa6UKTihINo/lsS2fMP7fxt7r2K/5zbz8N9DeJRrwE4O
swKgCw327sD+vNe60NAJxHUI2hwmfcM/sJ/N1u+Q377JbNy3yY4N9XAjDyLyMGnM1KFgxn9UUHYL
p/oJXASlAPnXZ1fvZeH0bjZfryC+TT8H7G2KY8O5WmehStb1ITYFMNiBqcPoOPO17bdQJNfH3Xts
EqDDMTNv4OoVpHfvMQftXaojQ/y+BlV+iKYX2ElPdAQR+iuF8qd0zKjMjZ1C+VyO9iM9eaIZKE8o
jgzhu3FA9yGaXmD/B8EYpu0/u2vTzDqkYcyxtLbTkjifo/0IT+hnIDyhODKE7zfB+hDD5iDUhqGB
Juy4fsUhh12ZMKIdyuCjnMNnEojN52s/zhP6GThPKP4P4Px7FrceeTzT7D8/Q549lZK3nk8H1U4Y
oG9CtPUE3k4aDTS0iWDQIAzv3hduwdEVv07We7Ua/+Nwv92z6V7Qbj3jj0f8/Us5zGlzr59E9+uQ
P2ddrd2n4wFfHEb3+6tPCxvONpyQPm+H2wPir+7es8c/30MvMDHgBIQXyI432tpM91xJ+Lkutsk2
sB/sz/catKOdmKCrBezfQgjOGwRV3W6eL4ELzgSky6B1HE5BMiFlmsHA/wAOMKQnAiw4g243QU3o
PgbxVnn9dAm29iE44u5p1BV6uvTzSW/ypPfz7Ndref7zu6xOb/Iwq9Sf7yF2K358a+QWHhA6n2GY
NLQ2w+hKAc0WcP1hfTtOuIF38P86XfMbKbN6NfSxXcra8pVhhTy1XryXPT+DdEgNTn/IgFBjTCDo
GM4WGBl58UMoqZrSjGix0mtDfIyDUjPtlCX9cAqOiiFtUmU1PVPKG+4iHPsWDMylnyPO/K9FHvFz
6ffiArG0sAomje4m6Mkt6fMmd8zeZ+qiiSNF/mq60uQ3rVc2zSJCOXUa2oSWGWvJdRslCrlhUeTY
zdukbmyu+V5khcrLvoRxL1yDD1J3VPZgJLRdMVok17TWi8RGRZz0i9zriJ00taUlKm8tFrY5udYb
ZMSXTRJdyypurbTIOjsQN1AK2xiqeMxKf+Ep/Z415WnWkqWhmfkS6/AUWhG6gnoLkbpGl555fV86
JE5DR0nkJH35PeDB7VDQFcLF95o0dwnyU7elMvrK4lw5wo/rK40VclUqwzxPQnFViDRxhwErK9M0
8p1GKjulXqCvsqos3LTxSitMNMPFLb8ilVipTLXOgHnj+OGAl1XGPvZI+5LgoHTyKDCkVVU+ZlZN
cADLwktdiBZDF+aDwC0qvECxKT9KWpHOMXkW3Cq/0dyaIemKTu++0CTs4S3ivLJUXEuHarJ3ImO4
Lc2KnwcgOKvfrzEMsjldYrB/Cg7+HI+2ILCst5dY2cvS9zsuV8pN16200N1wxyzNKu3qNDv1kBU4
vpsumSvdzDLO6YK4+NSz479Z6wZI9As+OPQkwmFWkEWByb+6TmFywjYfRifb2ldBvvKwf94nQWfH
fulZRUuxxVks3LLxyEJiU4aWx/Urn0nvHAFGZlymds/6lfD03uJ4+KvqcrFQ2EsXcALswuPDX8zw
DCvytMDyhu5zmRTMwrLsbaYi4nSthy0URKllBJ3bE7FsUWZH3mCXlHvWYIjTgSCrx3gJY7iQVVYS
FoWgdpNmp1FHnZxQaeV64batf4m9OLDiLEROU4RWmkbKASFetZ0gy9KPYksR/6Pf5qeIpFd1x3VL
48VSj2GhMVHSRa1Hd7+HeFuJwJuF/iAT9jWPW20InBg3USJiwK0oUk+u9CaNlqAIEnh4PbO1MHCN
PKQWLf31739y7B3eRnPymxM0ta5hsol9tSp98tXwpN3Vfu4Mip3StL7KS0+3fFMWFitL20hUZRk0
6y8HWQcW14zLPORf9FCVVqO0715MF0VZXuHc/KB7w4Phl3+lbVg6ZVYWF0+MP9vKm5eq/iEvehn6
wfOZvb/++O/7PIV/n056/e9fjkf+/vdPy00+lmjU9Evj7/z61n9Pix1t4K+jYyeW9ce5wT+N0Vsu
vskmj4mqX6cB79jkX6d67VrlkfCnVR6n1oyulWlS2HxrjnWMn1YZLkH1Gqwy7NSEXpVxXORPqwxd
yWM/MuzWxYhAthwu/bTKsI8ESmOQZBkPHoXxweavs5W3oAJ/5PnPL60yIds6BOwytMiMu1JMsMmw
cYFNdFnm86ZJGp5f63rinxa+twx8jVuStBc1a3q7rbG67GqcL4k+kKXo6pssooNNsvSbBKXrKE2d
Jn1guILA0cF+axIrokFp1wEdrEhrsRNUXINVaw6O1nbpTemLz4ExSLuRhNidPlxwj1xKg57yXBiO
oQXLsi8+e9zP7aHkV4PsK5flcXMKh0mf+2lUWjE1zgceppZP2ZWJ6UffKGqrCvkH0bLYyWT4odLl
GlzjzOaG/6lJjcJqw8C3s441dtwMV2bGPnderGxEyBeR5J/NrrkQMbpsWXKvGelVxdvClm3wMZMg
eRpKTzOvvWADvc2yaIF87SsOO9sHw1vpJbOVLC4Lln+BAyhXJEgjKzC6ZdMZmQWLYl0lHKxllwSW
xio3NIfAQl2SOER2ptV7Ze9yntVu0zS95UXptWw7bGU+Oc0DHFpdW6/a0SPwhxYtjbhaRGZ528VN
ZBsx6F0NDzfEMx9wVdzHdb9oOUot4mc3HTUXfZCehTitLI+pG7NmH4PS892C9l/MUIVW2BqFA+FB
bCdZmC9I2Csnw2xZyeGD7DK2QEFy3qFkEwxpafEKfzQDiWyZYM82c3EdNQyvEo+ddty/K1c0ODPr
yNJbfmH2UWSDJV+ErMlBYYZuWA2RW5GqWcqafwlM07fqMsNWkodLlGaZFaf5Q8zM3ImqPrJwiRYJ
Z06v+25f9adh30SjdfgmJdnAYJJNm+v+qV/SlW/6Z11T+lYP+tqN+oR+IkasO3rPscW80M6z8jw1
zLPEQFdGHSwk9+MFSkLp9l2Hbeyb/ZLXRc6szKgrt220D2HRPoohbqVt6GFk67JcDiVVFqvKc6qV
GCxdcSrMPLByDO5dxhl3YGL7Kdb8bJnLbh0Leh/qudOo1NUr3fZh6cI6Ep9z0hA7KKvmrqSodEPh
d27M6h4WQsBsNNTIrZIisoiR3IrGd0zsEYuEwVkmzEuvUchKYxk5iR+BXLCkdnlUoAUpc2zB7n99
oSUksfVwqC96nH0AC/5A/JZ+qLz0lkuqW51J5Fmh4FmCqm1tbahdRfPE8vXhOs9BUqK06ywSFDce
My6DVNedQo+oZUbwAjPzr6pC5yr/EFJaWFLyG85T76wz81XnJa3VVO25wPkjVUlhlX20TmlauCxW
saN1WuwUA6yP1igxLAnDd4JBW5Lejoa/sE8eG3kZRWfg9rphDr5G6cEyaFJv3Q9DY+G+vPKGGFkZ
0e66gp5mKNCsvgw+aX68iWsQGZzlsLYLY6FEeZZq4P8KgonTJMl9mXnfRZO3tt/BuiMJW1I4yN2l
3VCCkzxUVuOX2aWGO+MKZem9Fqblqmt6DdY8i1wmBs/phkaza8/LbV/quRW0zVUjY24plkVWIsK7
QMJqNqiPzmQSBS71APHOS7EV98OH3CtMC41ukUqbwS567ZZAIOTo8EtWMIDjpjVma2dx7C2avoqc
vKzoaQB4NTQ4j3u4V03KDyklF0mu7nRPv/eMMHcQbs492OzgkmHoQkvlUkbXRYfkl1gYqnVNlZmR
rerooq6baLCrhqR4EbZe5pRRqL5y4Qf08v9Hn+ClZTegQ+Fv3IFJpuQp7n2i+ukLIGhOH8ca6nDa
nQFnJ8ENf/kCFLabgBcP1RM+mnUww8++AIWtCWjc8A8evgB3YIzrf/oCGAamwQ2hF5bD2JYxeP/p
FM3wBdBo6rdDdMjxwWRUE3ZJEOi8mzi91UDyoqzrbgURpHCb1gsKKycRi+2Ytc0HUzP686hrstjV
9bj6WuW0+RhT1ZWWEln5+cXb2+OZjLN2p9xAmz4M6gVfB85tHht9Xsbx4NsWsQjqZoXLDK38eMg8
q2a5GdhdU+XCalpaf2VNoYWWTHlV2mUkIZz3wGGmNuzkzB5FVenXcI+gdnCSoI+DoXG07E3D26Be
Q93i9xzvCQth6jcccSewMJgOQ9AmHIcsAGz7akU6wwe13Q3JxwYSMmRRsT43rKbvUOSEzOPWwMw+
tPpYJ8u0kT1yZJNXj0GnFLJDrTAcVYV5Y1VpoDcWhB+x7/oQKt/EtThPlQiUA0N8xCcVlBdx0hqd
GyrNvApl0KTL3z/VLgywp1WH02fgiEbooX966BfpFNZrfqsViYLg3hOfcp8jUNwxhqVRZHV303ZS
3BUeSr78/men6SKYQQMpLEbgGF8YF4jJyNaLnzX0zqeF8rNVxge0QnFQrzIl7ZB7waff/9LUAR5/
ScBOLwZjY2H2DZ+ssyKj/VBKCKJ5odN12eYyWXoV70FpF4Grl3UCzi44ErkdEaNN/27RjIvipdDB
U+LxsAAKxxWboB0mPw/5BXBLszRcsTI21mlUG+s4GXkwhlS5psxzcGoA+mWblC22yjhnmyoR6qwV
Pb0cTblukzbKYztiWfqRyALsXcD7flNoTeHo2pAy2xA5lacGMYf6b3IQ42lvU/7ZqDYgGIHD0+HE
g22gdLM2MsPwtCtUe+k6lJWClJoWVxm1SN9n/nkbhPE3n4viEixtsDBz2oU2Rg37XrFhyO0+8JlN
86jZhJKwx8YoAnb+e4jpJFNiQEWagp2HjZ7jGYUgnWPs/WI5mZKHugwqchXRsvAEdyoRDMuu6ohY
VE1d27Ir9Q9N2hu1FQTghUmULRWWxTKhBbbjpExvi8RIO4slrf+5jdL8rFdVZRVGWXw0VcwdDxwM
u86jCHzqikQt+PEqW7WFpq5LbSCu7yMB/t/gZamNmyA9NcwqucWRf+P3GemspGblqvLK+wqnGnHM
BsOLDHsMuoHWwzC61NFlEhj8q6fX9DwwOboc/K4RdqsHNLVh0YVnGpd9arU9HxzUGpozRN1Docrq
rtY1FlhtWjHIE5b1GfUwvi8D1MZLj2kotIYg9r5B045srDArtb/qlKVOUSh8FudZcYZKkTyGTWGC
3JM0vguF1zGrKal/Lj1Z2z28hyVkk8V12aadS1tZLhDqUOMmBkO+3bQ+L+0GB56bKiKduhDXgaf5
uoNQXp2CqcHg+uiRObpbyZcu1YMLLEVxZ5DKWNYi0vBCmemw5mYuXaV30bBoYu4vtK7T11gl7Xfl
g+NnD7jSawidcOMvuirKQTja1u39puYLmXuBk1QEQjn4qgWzKiWkdZu0YVakokizmdcyi+VGN1i0
SjzIFWtZupRm7Pq07vUPLUHUCZXUEyuClVQtSNUKtewI6y7NeBgS70PdllWaWn2Y9Jl8DLwA4+Gr
arWOpYElJKjy/AGDL1cRCYcO13Whr6q4SuPuXITlsGxEXXlnqQxDcMNxkt/pTCNnUU9IbdeAgQf+
ri46gCvl3Mk8D+xhlcRtCTm91tchLquQdx2Uusny07hnbeD0XSKqS1NVBFZU6+VItXYNtnBhakHk
XTcgOqZvl7zgsOBIrNJFBoGRsJISjJfndk1o2poHFSYDAhQ9o3YOKdoUss916y3ahCWpqzzwChZG
5qeDzQcDNGaGY1rbaSC1BBJSva9uVKilqZv7If+u1Q0LITrLcbUMKa/5ytA83zvPCKuYEUGQrsqh
P1UwDlgGbuEHLHU91QzlQkiVhYs+MdP+VFcqLWwD90los87ok6UMy1CzAVb8WSvSATlwFk+cOvA/
XbtOIl1T8Mqz7HOUpiI9I1JUiRsHlXk71BUhi0jLMboI2gD8eYsFOKiWnmyK7A6MMTmP/AHHi7oA
Dty8SvzB5agbhM2jvmivUt7D0tZAVKTjIVSfS2IYieN7xK8dljUAZ8gU+CfZEJFhk8RwAJjDgYHU
IX0alGdID+mpH7LYtHEcl8QJ89BzhtqLDUtrZSFuIq+NqE3CMhog/x8N2oXuJXSBCs83gF3BChf1
wZCfBSFqfRfCz6C1xu9ZSIQig+Xjk9Lu2lAbrKoLtb8knI4D8U0IcoRXaMjCIbR4QzVy3yctrldm
IfrcyURZQcycgUnyFYuBQKQE3pYXBij7OqAkC87LPk26hWqNIbxAlV/d0wgbawNCH8/iCBbvoobE
C3GVOYTAfI2i1ElICdkX3npuiMLya9K24FlEftTcQZ2h/VbIgJw2rPU9l8eGDtkQyBKRhZHkUbfI
ZINWQ1cQ+kFVBrpHlQbfaE1NcbtCPevcBqdReCo7jNuzjPkKX4caE58yvRwXZxSVaskSFaibrqcV
t/WyBWyCNgPGcgVK9wIsmPhEuA6rOwUtKR0YnNflZ5USHr6JZB3Ht5hngp51NGrrq6qrRucz6Lsb
I9bMDko/Kfx0no+BawfplwHy1Wx8+JH1FvQT8FWkaEWNDJ6iLg14VUGcx4Mt4gZEp0j8OPyQSQYi
L2vwCny4BjoVV1lwXSLay8wiRaAD3K3s6qtUCwplhXpddosOjq4hbt+UeFQaIEw2PBEokE6g0U+u
svSTByf9nvMmDLnFAyOGddH75rrNCLDRyai/JVWnqwsf3NzoIi+yOLrjYC2WKtPRqhR++RV2z5sQ
t9IgxOc590V94QW53zi9ZGULDm5PlgWG12rrrOwf4iQ2brpa6flpqfdN/Lk1U1+dpp6Wfu8HMeqQ
sEwCB+IATtwQ94FaFGYqPms61CTStvAh109BzfWQkrsN80pdiDSOIF2IJfZB7UGpxmoCLD7JSGt8
N8EZiMmgeUSc0SxH5SYFhdyfw7mnIBvtqLHdyNDgjXbN0LhgZNryAskam7YnoIQIlpY0OrjeZfSX
FI2413pw088HUUn0WKmsV1YKVdjmLGwx3KpLUTDYtB0TUQXAAlmVWJiLIW+a6qrrWXIXNZCa50xB
Mr9rjNOhNQGcWEdqWBZJnOdXmdnRS63Sae4GZZY2F37fFgGkL1Ua3IMnoh51kYEaAdWpGisOVKss
0Ta8BCvQl3eJX6LwC8oHwhtrAA+s/1hURBNwM+VJN2Ba7J9rXtF+C3xda+yEKTM+C6E4/KFTmjdA
Sq5UkKIbalikIa4ictPFyWCsUrNIEqssGt28oiignd2Dd6PcNigAtZZnoW/JgaWgO5RKXNSRTkLC
BXO5HHgJqz+mnQ9JPK/Xle0Vyiw/t0aP7qNAwloDSyc+wVpP1U0mMgQKFhciWvA0MFurq79iXkM2
04rjhn00cFa2Tmv4Fb2iXsKb29JTAlJ4PqxotwgJoAmBQ99dhqSK80smi4Dc4E5PzDMP6lvwXF2n
+Vex1IrWSZUHOgO8sbq6ShIP+Jci9hcq4HHgtJ2un/UlBbnvTZOFFtQ32dWTV/pP102uwgeZq/x7
NS2cvKyb/Pv/XnWFQiD2enXlv+2gL5MwP3olRsqfKRWooYz1ETivB0Ohjo1HA/xKqcAEj7F0AmeS
E2NaXtEZJIihwMIwhsO6tsorCLrTTfF8Aqf5xvLKGP68DO8MSM1Av+vYAwk72SC5sx14aFwjseyS
/LruwUG8inBhRCuo6kTYrao0uWFh2VR2mhgroyhv6oA/UD9oXYnT+wYlOSiZ9LLE8mvS5+eJym5D
qNxXGs4tEnlX3DCuig5Cv4y1S59Aqliq+DLQ289DlG1EqDorbzC4e7GZfzD8YYFSCoWJIbFqL4gd
TGvIg1bRVVVrkBTm1JGkydA3rEHWEhz2ZNH6DUdnEF3J8BzHZuUvY6RBWUdvhAmF2oKAv+5pOiks
synOWMjSZcnEuZnwgd4TrwLB8dI2qh3xlGOUY7oxGhOP9VMOsvmRj4TMJHvKUSZP+UpId2iOUFxG
p3HGmsEtpa+XLqTvhW8lbfetNsGVbpPsMyuM2q6CdskbIZdFaK4LL/cc1pbdh4gn7YLU+VXo6aWN
VUWtIgjdcoBiTiCIm3vNR6x7nzQ5nFVMu21YamdNe0b7zGm06rJrjWvRmFAdL8yx2nHbq3BdaPkF
xGmalVf1Vc2gYsG04pQHDBLhAt02tXYGsbKbeeWK+8V3DD5+qrWnKKzOwd6d+l556YtsleJuVefy
m96rWxEkpzgyP8aicQKDQfeAf20GjbKg4n6XFIPFstBJCn3ZGupWVtwhXXsWmfRzykxLF3wtuDpP
wAWxeUqwG4nvGcpdmkAVqq3dNudLWgw2ytWVF6obAXk7qQaH1dwpNORmLFgNeXoN+QJLGAPkWOip
6vDnoc2vGhxZNM1WgKVdRO0CEmmryMtXioiLgRgLaEk9j4xoWZj6X9gAnR1WVwWpvvk5hyoPQO8z
cU8lJLRStORmd4ma/2XvzJY0NbJs/USU4Q44zmUD/xzzkNMNFpERgTM6+AA4T9+LVKmUUpXKTGbn
XLSZum66TBWpyH/Yw1rf2sC0tol/Yym2krG+UYzej27OzOo9RyI4tfX2DluZD0130gSjCcaTpBjf
k1BnU99+jmvxLH3xYIS3L4boCmed9tR2N349tSlzMO/C5XXCL5Ghl+RNT2CXrGcew68S5qqMyd6r
lsu8iJPUm5vl1LuK6cOULA/KNUlalFN0H0fqULFZ3LAivHYRhRvX+vWpgwgg0BllQNCE8XpFy3jr
s+hqJvhIWUyCLZz3bGTzkA86eXPlcuMvXR52wVVclffLaFi+DNVmRsR5MI7fTO3w8QsY1uzisIyT
23tB8W1V7fWcLAI90D41GI8DL4jRRI3eUYkJnTT9kAZdGGeeUEs2TF6/o4JcF2H4EKpKZV4Is69e
8I5PNbaGwTvoEKv8VMvjIBov83Rc78eFXJvaHpqi3NQhqAva7vDpwLtFqUkTq+9GTLNZH+oLDWDW
CqcvbVfdhkVzFYzegQTzrmPjzUBhUM5j930IO7wZq5fTGbhPXTi8WIbdRy0/SUwTuZJ1kPZN0Ww8
icm82mbSp0lGRVSndTVcdVVr08Z4WUflFwNVEvhIN2Vet95YElwvTfXGghESCgdMM/RRulQCvls9
PbCefjIJO3tReeSebfcY9QY4YPM1jiS7dApRATqvHbIEmmVOx8LCDB7GfW3dlRzJnLKgusXS9Twx
yzIhlqeSRfi8QxbpPZNNvLktsFfDs+uaNFD1cwKMJUsqkaRh5M1Xqwzai4hYk/1/mRD+7/X+DUP9
897/P93Lm1T/3ve3n/qp76N3g8LCA0fwYHQCWOanvu8DkGDbY0gCQiFY/kZV4Cqyj8QCmAvMCj87
KTjNSnBuACowYAikE+O/4qQEP6T+37V96MgYLqAtE7gzIHB/3/blEK1N5Ap967fBEzC6R6qjSxfq
+2aBsTtvhl7pQ44j4bF2rs67zfQrNvvPLLZI/XHAuuNmm2NBf/DDdc3EEJN0Dg1L9UpAN4yQ4RP8
WX0sxa6FAXxKSkXR49pHtdmRay95SuRy7Y2wKru+HrJ5sy+9JUKH3CzNdqJeqsw83vjwO/HI0+ga
3ba/qrcCIBkd07LQ5Y5uTqlGYeabecqEKNNV9U+i50Hebg6rr/RphOVacFPudIMtPg67d2i9n6CT
eWlLo6OEYettzm0x6ut1W4nXqHyFD1anY2RdpmD49upUkyuymcDiRQWZScqjlEWZz5OF7r25xrFr
2rxvF4wuqx52A8zleZVDuhj1ZmE7EzPMaeLjL6Sm4qRhTTuQi6nrd956ZeFaLyH/FsHFlpudnbjI
zxM43KpUd9VmeYcTh+O1kFsAh5sdbneE+3hLglinpiz1Kd7sc6hfD3Qz1BM46wvt73XPsfxupntF
BNnTzYjX8QRLnim7w0hidu1m2BfNTFLl8ysKL99ZUGSREnnNe6AcGszEZvyPAeR6rtFeWAIdFYza
uCs3VKA0fpAVoAdKT9aprIbD6Ndn3cRPYbK+kA066FyTGt/s6kkkuaSigVSrRDqAU5j9iWYM5AIe
najx/o2HJOjqrClI798NoekfeQGIhSudDo28XUP1vZKzPNHJu8MH/CWRlUxVXfZn0ZAvapyuFfS/
3OMhDK05eAeh8j7Fzu21WeD6a14cIcm9dviKphK/StZUrIHnbB8jWupLx/3zVNdfhxWjxEjWLJLi
IGfvanRuSDVG6r0pwVHKpphTpfWNqVd8faYnURavo4j5sQ8ggtZe91isgYDAYj+PQXxqRoMOEMlz
5cAzSMe6Pdf9iZXRsxK+OE+mZ2lTr4/4M+ercYomaCJS7gzAuuyH/jUpCJkk2d68BViCzwqWkyL8
rGUNYGm1NtW678+a2iVbvDhOhavGtNWtydZFyy+lX5THXgh1V7MoSedgzJfekT233SdwlnVaGgHJ
oQYEQGWFN2jod0Vbg8ComgrfdkNPutqYkpqJXFF78lfun0YuTjEp2gPD75KOLHApyqJJOdZmXZs1
lSMQXDMea4/ltQTMUNemhobkEXzTQnRbny6pC0UMnhdwZUgwueL/8cLori6TVOrpmSz1JVL2LANg
oaF6nGIAR6vuDsJDz+67YkX3JjfTYp8rCawJzNddF9r7ppw/8Wa51t36RRdQYRrYs2kn60+wMM7h
4h+d1k+GMz8dbe+nvpRBmrTLVaPHXewrue8c4CiqlutCBfdN79rdMpNdTIcztbZPnbYfYVR8q0py
C5/oBrbW3VjHY8Yn/VoU0ZLaZv3SCh2AKOF8Bw3vm+5i7PbgaVJDhycpwsviDXI3tfjUwMd0zafA
1tGxClkPpm2DJ4SEAr/hFH+3cB90AIy0/9rCW6Ceby9/7OG//Ni/ejgW9O1hJByKPA+DGJ36Xz0c
z5qJQTb4AXrr75s4jvMiPQDyGYg/6Metv/+KQ+CaRBQGeLIrHjKGi62U/pUmDrXuj7t7DN4CmQjk
o3CzAGelft/E+VKOieXC3taVGc68TcJr1S8X3rcAcK36xLoOBI1pjr2M2/VdSD169xal241rlcEd
aO8TMfSpady9KcMzdg65H1tAd2R1sPWxSx+qdgJMPIh92UziBO8InNiA7zjUvVJkyTT2+y4eWvvo
yuFrIpxMPTRqQGgLmLSB6vA8Ld56jpAHEEXmuKvOtm1yRwvvaDz1gXVzBVHgFwdHJLxN0iSn1pbT
pyHh/EJRla950MO6qx4HC+Rrxzvn7wfCsacoz8/jKekBa6/o9W0FvmrbwRVJLk2szG4sSRYZavbR
MtzwSEzpFAAjn9p1Sb3CwBEQ/XxUs74hWieZ6cevCri3I/NO+C6nml77YXmZV4PvaQ2Cs4KSmdac
gzrFOtLjHcYM4oFyU6b8KGbJvrm1nor9GGEVg6UJt0lockyUfRBN8Mhrv7engQnP3FekH48wJbN+
FOw4Rk73j8z4iUqFLeIpDeIiPARkBlII0P2jKex8QtewBwsAK1+7/s7V+oaFw7lvxc3o0ws33l7q
+ex1LJcrlMKxT33wVFE1vM09fahM8vXv4oHiEfk+vrR/Pv+DxjQ/DhHgOVd/rCC//OxPFSTaToWA
oCbIqW7wxE8VBAUCT7T6ZZ7/OfLEcSJ0C0rhIbMxmKstif5bBcFaANQLouCPFSH5KxUEHMe/V5Bt
EcCfCfASVe4PFSTp4jXpMWXctlMF6ztTo/TP7ULCc7+CFMhq1j27usTEvHhXvAe5UUfdlM41y0Xv
+Skx9dNSmkvDl8fJX65cgYl5ECxJoYrD3qhWuMbm09whANMFp6hiEPQKmY5cgwBczmzAPrt046la
QWZ2WsP/Rbsv4mQ5AL7+CHhpsvnHBxnJpAwSOt2pxhvTlSNVUdc8C1u46YkWXx1DM9Vt6HaJcV3u
q+EpZBiHQutRUMhlFgyrn7nZpGE5Tpnqi89tQnJDGcZ7rfOoml+ZbZAoGbs8IvF3tPAqm1j1hcGh
SiHxnoKFw66qkKSR9AsrwwOPIV0Vc7AXXHlpoLsjZVOUT5JDpELxdeGkYF8ur04Wr51Zbn0pxhR8
9NfKT6qsC5tD0ywnDsBmT5ZZgbLyZApl7q1EbixfSP9lkFAfAjEFeWHNOyvoeqMb91INUXGxUQUQ
BAJQKkq283pOHqiOETACRpBVm+Ek9YLky9xcSDROAClBtKcQ9sweOEu2hnEFBDSWkCMCP2tBFey4
AM9ZJqtMLe31tfP5kjcgwPYcE31etJ7LDLbTFDqu2HkVUAfnV8Wu93V1AUvcHngym0caTesnbHMi
lz7swUa3/jVm3Xi/zk3zVSrMXVUcsy8gj7sHrch4JxitTpyo5WpMCvCwrpVn2HeI4XlhWF8Vcz9s
7vVyZdXa0nTt/OJ14ZXHYbd446mn/n0jE7ITYh6efYcX/lCA2fvmQbH7CDkY5G4r1rNxdtegfrsO
66PeSvq0FXet4Auj2hu34lWfdyO6gEY3gIWfZN5ob9TWKIqtZcT+hIFuayPx1lBCdJZwazFj54Nw
2poOug+whzJttobUb62JbU1qDRuSy61xxVsLkz+6Ga0e41/aGxqd3FpeszW/BPDEieH5AqnYWqPH
0SQ1uuWytU146/myNdK/i/kvxRxI258X8/9ph6p//w9lHD/1axlHCBmXHgOk0ClSLRj4firjiM8g
OIr/+4V+xdT5m5qTgDMIfLg7sFd+l5Hh/wgow7VvPHs0wekw1N2/wsX+Gz0GJQkJWfyCOGQRgoLc
yvxP9Fip4rmuA97eemT8WlYG9rZtX4mLTi1iC2nN8OnBph9HHZwRfAuD8ipxyK/xDkjAjPLbVWOX
2tLLVGzpvoz8vS+Dx7ma6I7H0mZT6a58U+TMg5pREfOp4nTIWtJeiWhss8lTx7bRLx1bkJgg4VtB
K50NXldmZbRcFj69NZZgIWowVWGk3jE3RSlx/brzrdfmqouWHE6qyWKb2Cx0PsuM7N2+l+6OuijK
adle7BJBci3NlwBcHOKp7k367IzuNuTjAs25nHSTdmWAyB8wwj5O7taEfJ6KtcTIVjXg5rw5bWOD
/8rqKlvLgSKtURYIYJyC0uxdLIt0hMmc0nn5tIry2sT9ZSiGi8DfCdt6BbeE0oe5avIJYYld09Pr
gtCnwrUGQ6XtoIkEgGL1BO6uQUgpDINjF7gqK/jwGdleL2O+Ky0U7WmsykdD6+EbyI5Pbg3ni9l6
YmD0oSUz8K1RfVtK2Pd9c+iGmaGPRQipzBiwbYBsoyj4tSjpp2DEWmmr+dYD+7trGrvmNFrL3ZrA
mihV4h08aR8CT7xFaLwHUCQZARtykezFLC8AaPbhwF60C+TBKv/QWihqapg7+Skhon9s/XZo3qty
fYMp8bAGUG/iHzGURgnOXxSpbwp8vk++6f3jYqi8papIbsOu0GeXFFmYYEyeY3Y0CkkJX/hVJsLE
3QT1CgOmkt18AH/3ee7nPK46cR0s8h2ePD36skzGVDEu1vTvOvejzkUQcf+8zn21r/9hWN1+5tcq
h1Mpvo+QPcfECdJ3O1L+r2EVV1QQV8dDdIHz/1LKfq1yuM8Q4JFvcQyc5p8G96/DKv9HAhgGX0Af
OX0s0PyvVDncZ/q3YTUOYsJCULxJxMgmqf9c5VqjjL/Ixb8FNfmlSProwJrAu1DPIkXDyXAfQRE8
2j5Mbpam0HspK5IZbKBqk4PmHjmACuztlVIoDyFvJiyx7DBB82v5Mlyr1YNZ5Yep4d/JhHAW7eZj
wCwgNzafkoIjJzYgaVSVB6uLNu0T12XxHD7PvTqGleifELq22I6H7wzpMmmHZ0XCIYO/huR9OX5v
XdLkUod9Os7zccH8m5WrFP09bpMdSB2Gd17ALgWbk52Z/SLrZq/IPQJ4tW3HO1eYl9iW34uOz3vq
en9XumE8AfHq0lF6D0jwtXcb/ZN2DL5PG6gIAlMc50XFwqyEup2Cw7kTS6h2KgnedMXuUbxvuKkg
wYrmS0WDJ+QWhtyr6fvQgNlH5XxWU7+rRn2ygDFTIIvHYkzeEK9AVxHi2CTLPaDYa83o164vL/Wa
PJEaSexohcamqP80xDXGNbwJRgwma4uiz6iJXpzVS6Zj/YXPmLn1UCGCHbF8Dv073oYkF0V1X0Hl
TL1u5vPZOV9l8Mw+MNaffbZ5vtVlcrI8BbV+sAxb8xIhibCqTmcxQ/lkUPahS+Tx2izp6Hl2xBtG
Y5UCadQNkpyq21W95rcJHdyh7TlNJ1afsJQn16VW73QEXZWscXnv2cbHJhN9T+jU3IyOfrQycgy1
Sfq5qGly0wqF4Gav4Bw2SIyZqGuAqPbDuYRULToFq6/lt7MnTYZLKJivnfzoGviHmsizVfRmAMCW
WbiYiIgidk6s7FMSeQeEWZBIJ/YbG8SnBsU9UzbJRiowTW7yuS7x4rZ9jZ1Br5/iyqWkkK9oaQcY
kuE57L17woePULidFcsBqB1HfAtSsm9UcGLtCC2iOy8m2oVlcOtIcxsG0I2TNoF1L+vP/lw8Rx3y
s6ZJZCa8+Bk6R4Rfm14VA84reBwL1jhuwS/ff+icOftzdRib+qGqyh2z7dfZV69RomRGGqJzp6cb
rhqbK4arBNLvryOMBAikeeepDcID21g6C/Uz78v4yh/Jd0jSAbIm7vMQUMzqZNgPeg2AN6wjuOHp
1BRY6qbeR/wU4Bhe6x0LhiLrGURvSYcvmK2vE4mcApf7WgQatwSK78af9wDnOhywmAEWxlJmTW0v
iwNm6JIWuIqL3swcXc8jVOkOWPtYKJpVQ4ekES4G1EJ/4/V46br+mTTrJ+Lpe/x+bbqGgLbn5Bq5
VERnqc3LdZrzhEDDGmHf2NV/0EnwzZlkuC1DAT9m8ZYzUDjvhE6ocmC4V1MzPmJnfRdD88BZH2UD
8okYJYJCn4oYf8qqRHTs4nCnitHmdeC1p66j97VP+xR3S1k2gtnDiopYVCfxIXa8nRAgjW9rqVv8
erLNC9E26VICQsFJpbSI/O8IsdR/m8O/4F2bivLnfRaEtvlP6wR+6OdGCw0YwapN5qFAuH5rtAjT
bZZsgv/grsPWg//ZaLc7WBGBSrOl4bFib4LRr412e6gA7uck2EPQIdHD/1KjRSrvD0zYFm1iCO1t
Of4QsZ/fN9ppWDRQeRHc6iX0YRtNp9mFY07qIEDVG/dy+y4qfCnjH9/OMvyuAn5ltu9ttH2D6wXS
pVHiYhCATnt8zb3aVylfB5svKAGLYjoPt6ogpX11Sf9VoFwA0X5owvrQo4zQgD6MA9zjenSQd7Za
o1B0+g6weYkypLd61CadAadaPEOq+hwBwoeTty4ZW7rbCOWMzGyXjPIco8w10Rqc1gk3K2xDeTah
GCKwhzMuKI6DeLBzGZ17lE1cl3jlKKMJyukCNTxtKMKxAYD3lAE1yrfaghnEZjEK8ozC3GwVWjTi
SLeaPUB9STsBqsrAyUPBCG6abjy3W62flfoYJ0HSZesDKxpCtXWGuRxv62gazktnAJdW8JPjTjbg
Z9FTEr8sbvSPPpPYlaVjuH7wrQtNYfx9rfDiDkUn7inQ1VSgaQnox9e1bE9R4sFe2jqb2HqcrpYO
SewZ7xquHqSqNGXWdMsMnL0XKcw+doBKVaZMgfwNFzQ9vwzIYR3qMh3LqoU9HyCSPM8yrbqg3Pmu
rY9BsLSQgKqtHm4RtBWBKrYAeIaBBm66IDlZHDaKUFf70B+KfTgH7U51Bhd2ZNDt+qC+Qru9rKa+
BQl1Mq5c86rjH8UKaq+Ou3Dn6SrInXX1jhSxO0AaaXd+LTheCOIguo/JwdRQWupF2UNCgR13pUKm
DMD+A7YOfrBDJHa4QVQffb8oclySQNMNAu++xWF/jDP4m44LY2nFfLbnJVia2s08xWAx7DzEAMD1
NtU5ghl7KKl4clTfWev3O+FxhyY0vMoWmmUlGKInYxKehwTbWEm26OS6vUQV7b/NOqqfe2QeUi2S
/ugscqJ0KWXaFj25jSD+pWJYC7C/MV5j5dkjn7EbiTkEXhHb6g3HkGII+XGxm8rOO/qm3tuo3WGU
gn8L+jntkl6lSMl0KexuKGb1zHM1dG3GpprdrwR1frEPbO6anaY1qbKWtjdITZkjwPoP06+vhkxi
bwZikRJv1XUFSDoLFpa3amQn5ubiinnxdOBFHz5g3v5UJdJ4uW/sgnMcdCEkrezwfcZvFa8exiBR
t6nmYjx4lXsi3kz2CyTKzJ+Sc99RhqM6jqTJZGH1aIdDVuBHkFjBQNZ7Zy/0j1UQPE8wjjOYTE/d
WJ/jur+bY515Xnyto29FTC9WsukLgIv3mYGGDD0v7bGO5hgo5yuLhMwxSQyuWils/mXjX1H828Qg
LtMUfowIlOCOQXvtzz5JpyT+tHLkAat65djeuzcMphBGuu4ka3ePBPUVlFYE2DYVtu+4PDQVQWhi
EpBonVzSCWImMr7dqddQRWIN9tA5vIVk7G6tVz62S/HNl/brEKI8cH+Y8rhRl2omL0vDGJCUAPkz
Lcs9sQRGV4AQJYb0qdbQ3Vdcymj1dK35/NkyACGxF94lS8xT2cX9CV4B/pfGxwTWoM0PRl5s7R/B
nvfZhKtatS/H2wqKeFojX5R6S5KbRb3rgjVpNFWYBCj7Cm+pi3ayX657ar7LMD71NvoC5Dw6AY1M
a7W+IiiHOJhcjvhLt3tBIbp3ZM1bFt+IGlUmkR4ccoC8CQTsSZKjN7Kjm8e8phWIuGq+x2m2q5Zq
MCJV+2p4coz74IaUw8ELx0OJGBje02xpCf579CJ4VWW6sh+6iu+QKzW7SbqT6UKBu1otCMLmHtEd
D70Ay1HgLsK0913i5aQSTy2yyIL1x9i24Hi76qmtTIbchML+o+O0w6G1AtHEqs24DwBZJzSD5Pde
2N6l6GOeO2hONQdx07RZyfoHv1Jq92Mk+H+N1v8fBOf+65lAZDyt/g8qhI+f+mk4wnrvYz9BtB5F
62cVAs9PwwluHuM0QfjDPv91OAqSf0Blwj+CmQWi/XeWGVQIKKNw6xEV+UWg+AtaK90uG/0emIfS
QXhIflwk5FBefz8c4bBYifxUEd426xC708pkF7xOIjDFLbI5Qddh2PHokRfb59SKRxeWYdrAp8XV
GgvHrACYjqh0s7OJCXMddf7RnxvUrSXAdDLJF+LWMkPBeVlHveRdIDSoeQa2tUQ0qqjv6hGBlLIw
u6HTYTpxhGK4W1EzE0xVkFkL5EahbcxeN+2EMm0umLnYfkhSElefJ8Luq6A/sLZTmVywcqyHaoRi
PPmdD/RI3q/gZSSTJ9xfwQHEViLvZzzMIojpoJquL0mt7hkb/aNFJQcoQ++ob9prG65yjyRcn9Oi
lQihjh9BUb7YGqpu58U7495xMyjKEcTdTV5Q5m3XXy80/Dz0JZAqHDM6hhrRYxXgrFEzEJEGEhLq
yhOVkWm5BGtV76ha3y0v9lZOF5LMBxLDwx/kQQd6p5CVRXeb0EmGJlNT8G7w1QagvAK5SzGpXvX4
6q8RErS2LGCzxyBnUR74Vifadjh2KByLrJ9aFBJj+vtB+ReBAoPoDQJcUXc/4S21Ww3yl0r1B+MR
vudsOJOoe+31ts7FxRV63BX2uB7OZNGzM+wEdU8WzD/fatWWdKcDWfb33mrccOgIak7pN/4XYAOA
nNnUfKdRgGapZpDc9juMzX1MkzKbOf5xZed3TD46q2Hrpd20HI0TN2Ff8B0OV7n9aMTH7KHQ1dx9
ZX7yZNblnkzkG0L3Z1+uXysA1xmLdLCLy/Ctost59kv3rRVjAxZ6QMw9wD2qCRHryAerFal7ZM2O
seLeFcLfT67CXwusB8DLkt8WiwZEIlawT1FuhUFDaRikK+b84xp/kFqGSE6aT5NBbK4bQpq3iHE2
JW7mRV6FVDby7QOJIP5PYMKl+F4245q11q17PoMGrV15oJ7+ivOSR4mvTdbzfgESD7Uq1iuQOEj+
BBGxZQ4LgIEeFDLvCyRCmMoBQd+pn6NClAjB0hhIJIA0pOoR+jq2cRMDNZTnPtJzKhDRtSOPUsGa
Dy3MLdbtl0lj4GkBwzWuvgEieBngwKZMJpceeeKUBsGU1bBXlYB2VptpPowLsmJG4HYOTfAI2YZ/
XWO5Q2zm5Ovya9AEw+PqMVzXEhxJeho9x554XMC3+sn8ZRRhdRpEclqX8VKUfLgUUn9hmK1wgeLR
Y+wkAn7rJfpe+Ox9CNebrlPHRuKzuTI4lgMBNY44/sM0YTZBgrG01UHVItk1SwIlaVrYNz3pk6C1
fSj4BPC9b/eY/y/M6Obv1vbPVNd/Xfv/+ewPZVe0sh/neX87ghv+fvePOM7MIhSW/POc7b9EdjBl
QLmwdv/LL/xVZMeVZHBo29XHH2d5tqb46+6/PSfajygyIjEO8PhQxf9Ke4uiP7Y37rOAR4zhFO+m
AGz//CcrMSk8yUrOh9t+wbU14higBNriu7v0n3H/gu9oDYkZlydwj62JIXlF5jRG5GOSfoeRtJvP
Mw4YYAlGS8Ohg2OJe1cRXg9ckgNWKXuL5QVbXB3Xr3OhFnw4xyqdeoRdEGrtd3EXcVy7cskdsgzP
keIKYjlo0qhZrxwio2VpJIITn4s6eOq6qr8FdeqhjyEjYasYm+lCqnPXis9FWDaImCf3vDELgpr0
nXjK7kvqzU/QeI+QWC71gKLpL6Cv9fKAmMXtIof21HrjzYSFqsRcGvm6zqZouepi9Sh0pFLlJBaQ
eAUnG+C7loisKPV3VxEwrmU5Yf9xOOFbFYeygo4Hew2CO0RBqLpaqeo0tfE3QnC/Y17mGxz0QkVa
S4Q/R5AlS3cUsCzypbG4AqGaHIGnhwLb5DHyCF4aW02XtoKO30XlTTJU54Q3GLBb3Lo13ltdt0la
jWOclrhWN69zhWkB+4Y3NSEuoeIKkV0Rc2/5HQ7vtWmAuEgb10NqTPAAxf5B6jfK5UeMP846vGTV
iC4qiH4RcFQyXWCfCWMDeDeAIDKADw4YTWU74ZREG1YZc3o7j/iAE3jybuzI9bjUC67TkGFXRTjT
S/EZPqyUPoXrjwOHSY6boM9D75LzOCFIF5sqZ2Nx4+sBB4mLBvH99qKlwQ1jmZsWOsLc7+UCpptE
1WfkrcJDvyCdUyB9nCftuF+r+NqN7guV3T7sp2+wSodTF0wPCD2tABrnd/ybEYQOWoDgI7ntMbel
I3F39cIDCPfiOrFecTUF6pWoIk7hpNBTVeKcnPC6eDfCmY52rgcT7K/7qImQeq+n4aacvPg8lFIj
pSxB4sQwqBO8QKOXRoy/4WjFfJ7gW2Me3KsBHTso9i4K5jwo1NcknAXcbqDRzYB/hUZrsw14RKcx
AOIl5pCkvE6sz8EgCYhqRNGCIX7kI7vgisD71rdz0kQPLRrdhSEmvnY4RyXmHJdc+h2GTiDRWrzV
65CcjIzflniTGPgK2mlKNGAUfW9GiZdYXReNz/NYzcNZxiqD4oBrwU2Io04I16El2RRiDn5iwaXE
fi4djkoXH+1Q3LXKWUTIcMhqElZmzKLPF2t7GSkcqtVnI5oR7moS7LxFf55rqvOqoF9rXNnD4Ulj
rkTo+dfBrKJ3SDTNk/SRBsC9T5xxIK2A4PT34vXD/CVoCX8uSl+/vL2r/7B4bT/16+IFyMWnFGWf
UNxCR+j4J1XaB/+Clesnwfq3zoQDaOCS8MQc/suFt586U8wCrGRQuIMfT7b+K50Jj3P4t84UbsQM
pF8gkThC9wdV2vOJ09QgfVok3T52uGFjIFMD81c3gWn/l73zWG4cS7fuq/QLoAPeTEEQdCJFiRJl
JghJKcF7cwA8/V3IMjezzK3o/5/2oCMqOiVRIsCDz+y99hOCC7caO8eb42lvBVO+KfLwmJX9VlaU
T10a6pVwjFWkiXaFHPqA3x4OtJMci2gA8iNJd0UcI94obUABeXZFoMcgK3actR5XH0qP6Kqz+1OH
emNQhhf6J0rcdG1AInAhEr+aTuZJmJKvmCJkUKzpIcxFALHHGDx+7dLv+/hUwphhPqi+9JkF3TDW
mT9oeutRtevQgIKvQbSfWmaY7qzK5touqYMhEFzKNLobw+JtlsVVmmrWOGY4rEojntepZOwN0Hde
j6zYrZBg4+0p320j+Yis5pQD+3MbwZ/Yo9lbt5VyBr/JUyM8ltV8SMp42CQNc6U2Vs9GkpzlhfUU
x/hFhN2Nqwxp/IbuFel0Kz6CNmmR/fQx82k78+fImDy8pw/DMJ3jHmgsAhF0dcArb0TuXNo88PJc
wYAkGj/JcHlKznyIMmcfdeOhKiOZBXrUwjIadqHCuD8ssUOZgHXdsgcAJMWt7TmRPDPwLxnolUa/
7rGGsWTvtD36vsR30vGbNEzTPmS2vpILOfTaPLE3mrAlyDzajVkrO5jflT8BxrybpAIuZt05/hSy
+oLr4TBEAiBU9EV0V5oSZFQkM7GFQrJ+neRq3rQhg9WsinI/Da0YL6zuW0VTQ6gapq1ZBDiB6pnp
emG5YCI+AHflK5BuGIUxuq6zYhw9moPXzBL4fJrqGKfV5PFD0ZfbsZ/ExejJHN1xoDDlKsx2r6r1
fRpYkWepw+glo8EN2VsGj0bkRA1sphVH6gdqHY2FQ4/UVtJZeKeFA/qztLZxog7ePNlHJug8ZUfz
s6mGkp2/AjeRrYTWcSsbejJ64RBnfhVO9kqRzEsRaa+DlSbYoZnJtraVbbt2zBjBiouEVXCH3fYD
1ytSijzApRQWtif3A7exY53hLrFm1zN9K+XGi5Oo73Jabixp7Nbq2B6lXEKfJdk1CiZ211HN1kcH
1S6s2vKK1gECPs2dvlegjxqDy80br8eFFKaJT3w8T2PIZ15NYdxlzN9dADr+pHXa2RL5C9LQ1gts
5utB27GONqbrGJqs2gPRrMEIubZYdBdlN63StHyyy17AqoP1E7OxCRpEXQqz6QOesRpdMo7dySge
5jK4bczqph95TrLa+Yq7+qJqIG5V+zDY8h1bi8M8Rxs1zUH4R0c5oR0t0Uq7etbrALL0e5kBtafw
c33MzAdbS8XKAqRUWkwBQD69CAyErdAPsiR/mXDP0PUuR5OO9T+f9qU0vamoxahROsOtR0Y08IXN
fTx3Ps6PMeiRm3bdU4GauWRiQFvIhr4pLxrehGs5juJlZAPE4kpuh4ZVhG28okcw9l0LzuSchVlo
77pa0l+DEIDvMTFilGY4rL3eCZ7gqJjkMbArUwLK9YD7ZauDuF6LZM5WgvtubSBgcbkLX3q9384p
ezKa9G1kssqwYIBtBcWT65TBnT3Pt2PBGGjOmfNLYX7OzDB97BVOuBwogtukmbruw+QLIeNdY9LA
SoIROsHOgLsZwlqUp5rTfcun4Vob5ezzKWYX0VxnB7Z8Lc9nR48PfTqxLK/kN2XkHC8LcZuI/F4R
SrbquqDd1pkUc68Ft1At1dXUsdOTwmQExSaUdFeUKnogrXizyoGVkdo36EjimzhN3lUEN0Cd3kdL
9QvI38ykjA1udj6H2ZBCWEgf5JGZT4lLFnMfDlBGanTg0mDfhlSr/jAlX6YW7ee82wUF9bOVxWtQ
F4qr2AUAuqHWXCsXl3wmQSIKOP1YJoR+oVWsoqYuB7QWr7tynBGU5xuwPwraIJI3EEjfx4nh0CxY
CDLqc9mir0NcBMjNlqDnqeCuFdTsoeQbTdOugI5eQW2cy7w+McMsMLibRIsMH4kwATiO2UGA63CH
sTsE1fxk1KxDqvh2MkqQgJ25rwI09n1S+WB5dlVrv8qaHW80tHorlKGK2+fKTaHF2srAPoRPjlrd
ulhOqrmKqn+igm58MXPYanZ3SHJakhycGF84+o3Z7PXOZvAZo2uJG2vnmBbnMwMVYOhuKsUX9hFv
dW/t1Jr/r5tuhlK6phqXWrbrddOXHcfN4OdK+Jk4ztbAHFpK/GtQ2V/dkHyrWuWQq9Ev9NH/DvKV
/1M0zWyX1ea37s+zjuX7fqsoVQ1mMKpBhu+mY+CS+6GiBCeMnAFpNF49ZulY236tKPXFdMeAX6bY
ZI5PMfr7rAMJBPFeqo5nhmR1vuY/cr/8cdIBs1cjmwTuDcIJrDnoKX6cdHQ96ylQiuLcy/sQq8tE
C/zL3QHY6K/TC/SFAPDDtoC/gr6WuQw3K/yfX2IGf3wRZg5akqRtddaEk8hUOkbLuRNpaqGdI5Dt
g1eX5pjezWVs2qeF7PnchJaa3tmyMa0iOR9VfBDVqgXtVkeAo4IMhVO8nmO4ETT0q2nKzgE8mqyU
AH467N3KSydXkOYjZT3X1v0Yt1tca3hEcrh0cafw7K/3AKZuJTt953x9k9iM91W1Y0P4TPuurOY4
ug3BedhqtrMisGDK2Hw1vQUILBZeVusWKwMQcFKuZC5gsm09MCvoreQR43OttezTiufQlHcAwTCv
KNUeffZnBhbYDUYwN1P+GVSY/u28wsgvj+zz28ZnsHwDkUd4doFLpREq9nBLfh/bYq/pUu4pegFy
KNwDBn1sxojAk7h7SnOemdEkPlpT3096U/h1UlHSj8iuakvD1RMYq6BsLiTFN/j+sbqHk3bMw6JB
GqrdZTyEV/PQP0uJhjuFAYGhWuzR1e4LBy8rQngqREOU56LUD5Zo9HVFUICbpXWyNWUkExSi4WpM
elSSlcpAGhYHdsn5SQHAqnE5KWSle0NIBdLx7IGieNGqpi9S3ejIzKsdxLvklHUCeIeU7lsphleg
1Exs7PAm7D60pPQdPFJxLtSVPtac4XCFghnVSVDbOB9DZd/YhAp1g7WZLeOjipF1iKk59Jb+YS/D
ETuJv+ycoUuoQ12l9H0Ia/NLjwVQwfgzrg2xUtpkG6l4/RUEgiUPaKBM70qSgOvUO4xNabHLYkCV
+tD5sQ3Rs9fwD+ltJ9Z0787KKPpz70iPQ9izos865tVRs1b06BKOHRlKFrrYItDWmc4mdQitNbJX
ehg7oaRa0i4Yro/O8JTKaFziyfxKEufVUNKFYK9qGN1T0PMAoY5FnjWrEBbLinPlMZzqS6EbFZZ/
7TbMkLpGJURJZRxfhwSBWyVqogcYtLmWNb+kZvBgDizKB9BTOuIgf2jkxzTMHtsYKP4oLY7SsDvm
lvTVSfYLCg8SBdJoZWlKi0k+gM/GdM8kNavTpnRXqdz9a6E3dbCteDcczAb1gxGK2WW5zl2OkPAx
RVK9M+YxOZuaeKhrdSvN1WeO5Z8uICNXovoG8bDuCNEK6WzoB1LBsq6Jkydd71ivB9Tf5rVw1uNm
iqbkJl/8F5J03/QJul+ivGp2+DmbrwHJsWSNpQeTtly1mWG4M/dvqFWbsdSO7PIQKy+tDSKKis/m
Ep9wakvrObKNz1hGGw0+hPJ8VvwcEM0QTQfsz2/S2B9Ex0jV6F/CHjgXZ859UyhrgB73paLthCLd
I3bAGRJeIXC9tLbBXEk+OCJcwAxn2KHHue38uU8BF07f+gHgamQlXtp26Zod/iqFFGK1DUgA22BE
NpwsNidNnTKjnGcvig3hlg7QhoSQlkCSbqeuueaxk64Dtf1soRWo9fgktZ9Gz504mJav6YiHVgGr
mhw4k2BnBUdHktbyMFlXKxzGTV0j50xCgjUMu+qqU6ppz3mpE9owY/kfCji1WbJglNJSrybmrbO2
6aayWdkZY1Bby69p3fqgSZ6FyK64ql/kHDSA3BvzmQde7TdZ/Varyi5qtG9jYN9Ciz2hqg0X+Ui8
DLMVD66aDWQoi/18zuFQAWg9hnl0icPwPVGxioi0zw7NPFksejtkE4U8rfQueilUrqKIHuK4TDxH
k/b90D73gBUvsNxyP5DahZFRt8hSePZA6+QMwGRjem1fzbcSWTcPZkL3OU2OWIeLNp5PefsUOC2D
vM7Kt3yaba/OOk83h2E7KJ3YBCpiPS0vp40o5Gg1ZGyTwy6N+bDHxlZgpNy26QBZtLtv9QjGlLJJ
SJxzSymA06FBezGVh8oonxtlvIRGY+4cvX8uEaPixpyDf8g/+9kX//2haztQ9XjishchqOjnJ7uZ
9ZVqq3V/Lm3SJZTbxH4w+a0NRCuJ/vTDHO38CzLnX38bG7i8loIhQtGw96LaVCyUDD8+4Nu2xPUi
WnG2g3WQXmsG/tL1/+8l/rCSQSyQZaLPxLnigwkwxo2YbleX/4cXAT7OaM2kxlqqrp/+jggjalII
cdaah7q8GSUwFrv/+yX+fFl4q354iT8M8LoeCquij+Ks25ecgX2OhEHcFtZbMv3DKzHF/EPV9fMr
Lb/JD0usLBqM3CQ65lxPjP4LkFnqvs+PYlgPOV3Yr46ivy3zll/8f2FKv9wDEPoNcghwerO8+/nl
OrrIuekUgVLpWWF1YpkPYXSY8ufv799/ew2ZN/TvZ9feZ/avE57kzz83G8s3/tBsGDQSsrlceoaS
fBB/X6zq6KPJiEZN9Kvb8vdmA7m1LHMFCRHVuYQa3/XrYpU+BHoys2302Ro2/f8M1vHnZkMxUG8v
5ipH03/pE364I7ugT9psLlTqyHErp/GNFaYrbZjWP7wzf3EacYz9+V506I8cRcNaqoKu//leBFif
IilNxdkA97br4CPra2Pu9zlgThwRIUMPYSGU68pbZ+pv6rR6tFQsRhVgpJUA+75OGyU9DA1jBUzO
ZDdMXexKBh0F87Rn0VZMpO0I+cyihY7a7IJVyF6pVXYu5RixAThI167Vmv3egOmeISQ6W/tQ5/hK
UIGvCtwJbDZN9MNp4Qfm4Ku6wdCJ8slr8epUlv4k2daRB4Tj8mc+R3pWrobRuBCgcC/l40mSjFMX
yzT+Am0hcSc7AMgnEeRkWjrKI9uqzJXDgbH7Is/oh+4OjrIv9P7JsTH2hNZrmE8vzRIXlsLIJGQ0
PhtNcDBhBPtsILamEzSbNmLFrTXNI/vwbWzr4SqLogPa+/dCRKk/5HLlmQPezqwc8UwRhehmBDb5
Sje/KjlcwFlPbnUb5/yUQUivNK8209feUh6bltn7mPduqUz3Vt1vwD1sQzOUUI0Dtxc6fjGIwejK
VYPJK7mrecd+2HJenY6kLmZEfR0xZe/1lEmp7Nn031y/ZENG15cNBtSF+niUhh7xSYFonQ6TgfR0
UmFwssTTXQE40E+V7AzQOvE1TWzmXD+GYRC6naJvnIH3NhJEXkomy4uqdl5hRGyR99+XxTx52txe
YxMoVgjcmEVydmlFvyP+dfAaTf6QieZ1QzFdszg2iB6Yb9URqlUbJQMc5uabkqnfVJEhzRqVbZk5
O7B3CjotsUHdf5eTVIEjx7yxtLlYmVnxMSfVc2S10So3ywcUUomn11a6Fb22QdK+UlmoIt4Fs8wt
BmmLlepaGaP6DVtU2PizLTH4NcyRMa8MonEA2tgA9tZFXXiyJXzFFotStxn3WWaAeZrYIgTkY+na
NyE7u9hQ/GEuUSpMaTVcU0Nb9MRCkWfXiBfhE4IDL03UnUbeF7bBU7eEwdn1Gzq/eyWVPqlUUrdG
u1NyN6IgHwBmtB1YL+GVIlV2zMvRwovhxm6QzS3FG4NYxLvtEC8gHPFiJla7HsPqGMaYAlt2yKDQ
4Jq3N1WCEblrt0J0z8R2AMV1UCskMvj38piafGS1Ij2jNjpkkrSbM6T/URhF63mcMGkM4CoFI/ZE
JBoCCeWeoAF6he4zRQFItid6arN6ZoYOe28X6Q3EeWk7mdbbmMivs0FKMqHFLdv/10y/sLdC2d7v
q3LZe6BAo79WfYLZIkfvIPpqa6Hp24FurlEilGxzNWw0K+l8WWEeEg76a8E4tBtL4QVS07AmqPCw
FbdTKV4Ac6Kxn/QrcUn2sZIItnhY+BWhrTfBlqU7fdg/HKM/W02XJzqPCx2JHOhltKh/nA21LVu5
YDKns2BJ4eqbYD9eyuMu6VzprXiq1umOgtwNDqjUsGBttH+oX/5cUPDy7GC179tOVN0/H+JN0BuD
ZPbzebAgBu8cGeDp+CqV/xRG/Vevo8rUfArbRJ1x28+v43Q8s2L48mclviHbyc2yTyfcsT/4Zev+
twXSz0+/X95O3k/mXwiULNq+n1+nrnVAyEokn03j0Ji43Ons/6kQ1//qmv34x/zhRfpIllsV//t5
8NsrQL/1sJW/2Z7NWuYIFjV07zG+uqyRto8n28vc03CM/Wu7DtZ3yV64W4RON53HF3qlz//W13+4
p/5c/qqqDqbL0hiFOui4fn4TMjJykHvKyhkL0ym4k9fyUXkK98TKkNnnTe7+RdmMq1Pti61hrPID
y9Q7vB0+zIL/OvN+lehxg/99IXkpUV6Wf64idb7r9ypS+TdMDrzlFqwPA2zTD1WkukyzETnopvar
0uE3EQRpuHwppwYV43cD3u9VpGb/W9ZQ5v2uZ/+PrHmKvbSu/9tqIPRDbWEjg8Cax9FEr/bzTaTb
edLovTrdwjJtzlYy5fexUlnPZaar+2mh60wKq0S7G+QjAqgAvA0UHnaq89VayDzkcWQbbsT4YLKa
W1tSRwR4XEdru5ZPWRY5x0FTghsDz+4dmA2+n2WnTnXW2Wu55Nkj2c5+VGfKjy7qtkqlpR8AzIsN
vWNAnOkMDrNqx9c8isJ9WQNv0CWSIhEDLStlm/61ma6OWq+iTHubgtza9xT0fldK4lBA8FlDWgVc
2YGOGDPC8QCkI+xLU0Jz0CgzDMKRD1eydLSuWeBmHUHiSfJZgWzT70hZ8Op5Dr/Qtb1EI8ksczCs
mLTtQU46TGmLdKfODsBU3VLPoRI+y+m0j3ut8fWqAB9Qy+tY7qRNZ4bzfg57bQ8OyVpDTj0oEib4
uGOjLkeRvkmzQifDRQ22JiNfNzbCdF/D6XCDcribmwQvIMxNVvMGVlzDWCfsrl01dE5ktKXQuXl3
pF4iKERQGOaxoty2rWp7k8VIuI7afa8mr3Vl4T7OusJFHIoFLmTSidSgWwUDFwxTVQPfNpWpoZVt
ohM0KmEZHI1hg5OQGKa5r96GMkyOY6d/Silm9VqmSEUQAjSpyLA8hxcqx7vcApmSjuNGHbKrmojO
udEdan5kn7dDrZxL1b7KJOtgtEGlLMmbEQM/M3FjHVS8jmmmlQskMDy2rYH7qcgPraZ8GkbZ+60p
LgNKUPSiA9ZpspncPJdvrdDZFnm5GTTjJhmdYyXkTaT06nrOAPZBNEXKnfhzGN/mc9y5Zpf7jg6q
hqLjaEzQy1Pp0SZ81ptH/WAGPf/SB6+52rxrQqkRjNgflJAbXPqPtUMZOwYV+JaqRTFUIJ84EWRX
thSOZv/BSBx7gQbn1g+gSznfOVP0AemN8p0+1S8gqmpBUlkKcCo25fEvz/r/dvVLNfH3h/E6+5dX
NnC0/3weL9/423mMKA1cJqRqTaeN+Rmgp/ybvDaZ45rMHQzLPE9/O49RspnEJSKwJuSHrp9/+k0u
vQSXqzoMPcjIYDg5QP8DubT+fSz203ls83MoE2WdUx6e3x8e6nUYjIhzBzjaenkVC0h3gKgrMYdw
raRtzsTpgdulc3k2dPgXjpHVLmkOFrsvrMqtNBScM1icSQ+FygDHlxhiy2swcKwqRVX8WccVnC/B
V3SorKz0vlzXgTOs6gUQnEAKJjAMqN5oR/gerEeH1QIlfuGbYPpdC9Iw1Vm4bWAPd/H4FLDnZwFS
XZoSnZgpxc5WkcOPAnLxqMkHLK8n4guQdSxwY7lJFLSqjMEryMcZZIdpQSFzlB5IsH4JOnXfmVVL
IFl/kQfSONgrsRoSLBfwAb+bgPq23YJbbgg/851y/DRL89OyncTDCdt7LZRmZ9SeC7Us9lVPmAiP
3Td1iO6iBe3Mr/nhFPltiura1oYlTsAsy+uIL2RNHbhJYV1sDOBFGBv9sMQAGCCAm43808yU9biA
jsqs2uigj9C13gszDbeI+myMMwbpY4LlQhJL5rqXxlsrEhoqPvUag1UaFr4SmK0SpR6ndrHQl3h0
bDLSNzSzeyVui7yhhdTUg2yaF3aTLU9Xm5AL+zy2oOOqbpzRjNGfODeRVH3NfbTAWIZk3SY9+XTj
Iqaes3GTxzH0ljhxdlU9RXdaqj5iYQS7vAhoVDty5zDVXmbZcit2GU7/0JtZeMKcVO1nVg6EJ0np
lrk6shz5XiEbm47PhrlOSLqbyvF1CU/HjdvbrrY8hrWQjMXKrEbPKMmGlKTyHCYBZ3iL1caUHwha
BP6eACvvmVJl5l7vC95icIpBMj5VRvzN0vKbQEpgySh1jacdcYol9W86kjEcMdqLpGavzDqAe4XW
Bo1XCVom2apyeGHX3npjP/uSioSsnm1/KlJvTNB/ZemNGVgEdKIIIegDHUzxJWelvSYT0XRNxCSr
KoU7MkjJh2JKz4aKOiga7zMyM6ZBejCk6LWjd2Fi47h1Lx3qsTnJWvA4FslhEjlXK1CvYY65KWqC
B4IhD0RbsCVRQ91HUI1t1XZOhaq/BJZ4ZDw+o+TLEvjZzDcIAnxvdedeNMkprBpfDRbUvDXcCkW/
1yb+lhxWTdMqO1DCK4J29iFlQG+KQyUZ7+HUXZfZUVgYmPaN2yiet1qTu5UMoCRtp2ejt+1NEiIL
TWPsahxzCOVqCejB4iwOCDdcDXHz3LT5XnOGY6qpO/SQV9SKNu9HoK1qTeyqxlgiSxcegJTdY5p/
JwMTh22aNWxe7M2SlrXGBmuvgw4YCqTP3GeduZ11sjGSKk+IoKtWYwsGXGVdupy4nFLEtKT6cC57
xkEq4F+/H6a7UEYApeAOk3kLOJPutMk8Jr3zYZhY9irLfFRN/ajpdbLSekzew1RBgVyOuCaaWbDK
F9Up/MyKElddnsgthAZK62ybkzmvZAj4wrwzVyb3Wz+HF0XW360cg16o2kcWxfgqQknyGabeK6T+
QCdIFcLjrHeVZMK1UmSQUsxqPWlo/vNY1dkaTn6Kkbjp5uCS1DPyxkZ5KOKhAFRnxR9VJJ1MUtDW
kHMhu8VPIhpuGyfaYkT5mplHrLsCxntUyRAT6or4kdaQsFK2c/6Ug6IIj7MaTm5nIrFE8XIw7ObB
WbjezUL4Jj/2lUwUB9XAoMFZnp8Dslxca2jfzU6qV3PfnPU4O0WgwzUQ4iMocWVhimtFs89mdZ2G
On6MzrgDIX5kxQ6IdCGSJ9gQbBDlMvoSmA5Qyw0RyIxV+gcNoDkV+Z4cwmsyQGFKARHy28zPSGWP
bT1dc0PcVSI5cz/wJoBLz8Gmzwbgz25hPQxU8/3CVh+d7lIAW1fQpJJnetDl8bFQobPqxtkEzl45
oKxs/mNcuO1WZjIjW1juRC+peOnhuxcytTpnrCfialuAgG8WFryVtxw7Joy8hRNvLMR4sPGw46tk
Ny80eSkle/A7X34hzcMDUXe4+GNsHnDoy4VIn8oNLlq0Km44MrNduPXfi5H/VmVLwNffV2U+1v+/
apGX7/q9JANeaaK+YjmCqVrWqdZ+X7TIC/GN2JPf9Vm/l2TWv9Fr4cGmlmaX8r1a+60kMwCmE6Vh
GRaA4gUU95+UZNafDdqOahoOEjJLMRizaEsL/cOqJc1he9C5WicMqvuwq4fi2Al1MldJPlQVeaEI
1Te2aFvSX/NwvJYIzCevdArgEF0SvYxaeyHwdPKitkhXous30GA9hqKMieVCRd2QmTSgyTsalJgP
qhGvJwmFSEEWIfwehMeZ9FIiPYVW8yT6UknvOnAxF0giW0egN7WQ7mZ8kkM5lk5pUNjCRXsMGUUK
X6aqi86oLGPzHGWTdTYKm8m3jolZc+FpdaVnBLlcPJiWRMIp55RYt6MSdLe11EbxtedBjKA0FU+p
6kSQs9JySwhRMvEIbo7Es+5Fb9wboT6BWyiu8pw99DrAiTKqPlCjA7CMekDF0OGbLuE8096jJaay
kfST2atP5jhee5rwlUZBKA2SJ+UcAWHMykGvKsWzJ6G4bYGEGe3PkxpoNkP79FUNjUtqo8dNCI6f
pPib6lgPea9/yjo67zbnTTHs7s7S6CQJjK63gp9Pt1ylr5NGrmYq4q1M3+7Vy94jz+yHOlNUvyyg
0BVEILtjom4juJ7FMDReLmKUV2gOjDyyYILg1Wvh1WFcrEnTlae9Vql3AalcK5I5APTq6rZMmfqr
NgJtZxrV3TQobGx6+ZtcIqDv25x4YSNYp1a7yQvnLYxKpicWbS7W9NgGPKLNzsUK4G8QfO+PgfTN
cGY/k8cd8NBTiI7cBT3kVc1sbvNiwQ0H1Rcjj8Y1Y5EyJMg/ROSMUI+LZ27pDg/xYG3NpfTn9rrT
FQRCnV2eOiORqBsxXTnstLD5uWGk3AeVxACRJ6orj42xAiYEAo+HboTcokdJgi+x23dcwa7tfbj0
8WY0MIaZcl2u5wKp+jDdjrXxpLTdib7/IekI7Ivl9pqH0X1EfKpXyf1GCU2JWDesnUPU3E9W8AA7
5W6ukfUIBTQ0A5jQdeJ4QvEenPtg3k5ZIIHMlj6aWoo8Wa/SzWTwkJoVBwV5Dx47NFoQ2oyXSIud
92Vl3SYE/vqljSSt6gttlQ9Zh6tA3Bip8g2+P7MaG1psGx/NpIKsLVsHiPjKRnZIAJ3gIyh8ADxd
Sd4auRL+5HS3TqM/DxJGEz7qg8u8DDFAr33lU4+quCrv+7ladb0FFwBiv2WNDKyKEhpNOjyqYi62
ks7dGSwlXZvFeBHUmYej9WwI46KyUNoNJSqYrFF3tImaBzzzJhpgL5k6Gzs513Vf1MltHJoIpNL7
PBtOpCdKbOAswpKwD8W5c1bDovbNjH5CVII1YTNObl2YD8wyhpXcyF+BqqO0zj5w6+5ww/KcD5nA
BJL6qbfStU0sZ5Xn+TUXnbpWHaIYpk4hIS5/KSf9YEjltFgqCKzV95Y+mndaYlcWgAb0RFNUMzNB
RqgawFYlzDe9UR/NxbYx499gbPjeaOpLbTva1lksHhVej3kxfdhdZHt6AzvJXCwh2I4+iDNpd7LF
kLHoUE5Wcrad5BKZ6mIqgYr1Wpn6pctJMxZkmPpKHwiv6dnnJRX4wyKWTwNo2TUrts9hnhyvMKgs
FzPLsNha0sXgMixWF6evoR/IdGwgkj7Yc+K3WawxciCMU7zYZYa2Htk/k+Kn4aURi6lmsq1ureCz
SRfDDbJ1bDuIoGIjQQmVRBW6P7Gb8Onki2EnX6w76mLiGTXu1qpJPszF4FMFybw28PyEuraYf7AB
lfiB0kiNvQjupG/bNH6ch/OmwD/UoGgrEN2FItiUi8EIG65JllDsEBojkLd3ueOPiyWJJie4Iyau
8vGm7gjCvkmQBPrdYmWiTyZkCrM2gz+MTlHff0vJVvIBamp7lYzLlVHNYM0xiG2jopgfZ5FzbcSE
6n+xUkkU925I3rRr4LPSctgXimKDWjDI8MWLFeDJkuI5J0Ga/iZI5zuCbz14agjKLPNmbun0osXc
Rf1/rvrooVDZAqNhwzykUYf12E5WidZ9mDXZAPliGBsX69ikAO+31RmTdxaduxjxA7RGL10sZxXe
M5ApN6RSeWAfzsNiTtOSGuoqMwqiyJuTg4PNLvL3rA0YSFi49czF5pbhdys1e1oHiwUuROToyrji
lD59K1MJP2p8SYmgWqHMNtd41bGX6NVnBpEizGXd7xa7XbMY73rgXJ7I5JdqMeUNuPMCpy99aGGD
J+omWJV4+AobPksyJuG1jjKSpIIXxs+0Lnx0yZX/gmb2YmhYfaPuVH1fTXf5R2CozppI89R18BGi
ekJ4sVgLVTyGswxCFtHcUQHgD68uPWQNlYjOM9VYLIrESHyOdgu8KLixFxOjjJsRkIjj1ankJkbx
lON3HAtYj+ZigWxIXOeC7mvcDUaWf5NwO4iR9tFkglLU0hbH3idKDL9dDBItEextxb8KvBNyIt/M
4SFP6FWwVVRt+ub0yTu5zUtmowz2ydrBo1vuGnwZLQaNuRV0bimXZ/FuJIx+xsXNgZ+XthiDB0YQ
zUWTcomTkC/mAB8whMRNhnd58Ygoi1uEyu2VCmwXj2TNLH4SDWPJvDhMeqwmJpaTwBFPisYPX7wo
IkgO6eJO0fKO6FnixfARw8SsT7KVn5ciRtF44DlFuDEWr8tka9B/48dmccFUix9GwhhTxc4NkTNI
WrDM9BJ0FSsxELpjpwFqRV+qJggFBQSDxXNDKkHoQ+Jj9rM4crSGkcTi0SFPHaQOdadrY+CRFidP
oTc7C2uPwOITLV6fUNiAVJNNiXEQ25lqbxoCW5XxxsYmFC1+IQIN8hWapE2CfxwrG4WMNr9rmIxM
Eb7bmI70xX0kBXLExarfiCdbEtoFWeKVPDQHPj4P4cRYjf7tyu6HZNyF/9qs7a0WktUK/m/oUhxx
WnVXmE1OSFhBXOj/sHdmvY1jW5b+K416Z4LzAHT3A0lRkiVLnqcXwmGHOc8zf31/jLyZaSsi7U5U
1UMBF7i4yMhImxrIfc7Ze61vrSJVk4T7sC8K0SEVrqnPEGAMmOCjoTd7Dyu/MF1OfDu5qEWCq/qM
8oPZGCLXtJKzgoQ2e0wQ73LmXM9WwIG+wKHJqMXNE2HwIrVw1Qy2q99DZzaleZWbOOr6KZAIO49v
lTq/HlQdXo8CgC2u79XI0OyMjZfgR61nadY2NNRncoIuxsiCx2Is/IGozRz2XQ3WPZXkjGEhAtMY
YTlBrJyILGwNSxrf3/LdsTcHHkt8Rbivaojtaam6Y2sc+jY6Wp2xB3ppYYiPnyULB6al7ok5YndT
lN9YW4A+pgxFchM9eASuuBO/Mz3K13OMgXbqzY3adxeVPhN6FEKu4Shhs68ZXGxUr/WQMZcKBSSm
uNOqRt+rVXolY5fLW4T3WlYMG+ou4wU0K9gLHdAzzQYpNDFoMhdk/OAkatrYDT554m+x/5bk1srs
doHHPiVV5KjhMcHMF2uTTTj8VqsBDVpmfxCIqaBF2R4zDY/TBIMYYIQzTHiNA/GgAaBI8/6gyked
Vh1x8m5dC8FZLxb3yRBs2zB6bI32trQKNBuzuCIUfdSNayQqDvvew1TJT1FJgFEjUBmzYIsced7G
XfrEC7wNl6O9wV5wFWIT21EVnlSQs/fZ3AckvsW7MUwKt4EIQd7GjPxykhdp8EPZi4hIksthyJ+T
0iS3rmm5E6zHVCv2kRLeZwM90H8f6NlRMnhAB/H3B/rfsTT2c/3t+Vf+/+WH/zzXL/5/xBnIEyG2
M2H+cK7XOZwzT9FkhhwqU/E/Ri3abxJHegtivGX+qxvwx7ke95cu6/i4GJkvY5h/dK5fdNQfBi2k
IaHKMZnM4tpiAv/xVK+EkkB4S6Yewuxpbg7j+PjuY/mFchJUzk9XoHHBWB1WATTdn5STnd+oLWF9
3aGbtZUsl29TqR5SP77S6vYNGghTmTpyM5X5jiTkWwI5NnUVwyOkEuiCzryRpzs36o3QiDdxF3pq
U74KKRm98gKQJAoZxwPJHGF6hMmlkVLctxXGlazByrlYVgM+REeDezN5SjHNZCGJ2nYMG/9t0EBk
KFmou4gxDVelZfhayUuyDpuwlcrk2K7FQHiIyTt1rUR9gfadea1kBI6ahNWCSvsxzDjipBVWqVk/
WHWgrBgwsUaq6gADhYO7IhetJ2FYs6c6RwEaPQG73hNS5VpWNu3JWq82aV5s8rydXeDTN76WrsGy
nZshE+R5zp8EcaDzr47QzYVjO4IsI3Rx9jrVdHHsXxsxJUgstwqKwkQUNnnZnbUYwQirmy7HxDyL
55F2wlwjT2WcbhjPvtQPdKLjTQCTrUui55ZwU/gGRNJp5iYN4qMw8+OkR4RARZokOKPOb7JK26t5
BVpM7s9TZXb1TCHUotroE3icQrXuYlzUeJbTi9qHtdvMdH4iNoKV3CKwj89UQb1pUylZqHEEKs/q
Ncg8AOjNCH/SjLYTthtbi/HY+LG+xkbVkEeLuFO1VgDPHb6LBbHV9h7BTmdowx1L7e/VQuHgox30
BpdMOx+TSL0KM58WrJ+tDbU/D4d6W0zDNhhjlmlElJk1gEIZ9qGcXusS6q82Tu9Zue+g4d4z9/aK
GsDcrHnCWD/RLmDS1lprQWkeC948k+5xLUzza5Iaq8kIndqHwpSMe3q/pt1VQWmDnuGXmnBGVcO3
A9144ikASRA/Bj4bv7EBNSt0HbdN9TYV8cZcmkJK+bS4vgVBvG4wetuJH7v9aDmiln6bE/8yAQxK
6miwT+I6oW/AqqUKxk2IAqPi9OAEUUASSJZ9syQkyUIZ9isT59q5uTj9okiHFlOyDGr6dWypD13Z
BIyMajQG5fL0xMO1KMU7Mh9MhhIARjWGPbYgaVejCaWwmzDNMGUAb67DBLTSkn23SkLV0OiHgLAv
aET6HTKfAH+gb36rrZYtHTZlXM+l3vF8k8xLZ3ASIMbFUR8Bq470fVXqRPHyUeCFK4EBCkTwxWkR
unS+axLhBXHVzmpj562PSNZcJCpZBzZO12wznGS7reodo9BjqZYNcFVMkJKCXlOSq2ZDpzVeBVG3
16WA7UxS5mtpxmA+zhZKTRlXtZqWq6JdUnuJID8aZLIA34I5T1xy4Ph++aLN013tK89GQqSgIp3H
7IQdC6aJO6XC3k8IuZVSelqJro1OmxbZNSQNgUeVptV9l+RXQw+7FY7LUWU+SmVxOFe4KJ3Idy7z
nVEZFEQ2VJKxcFwxPJacKKlRZwHmt1SpSPQl7HFu92ksrEMNGkIq3id1zwhIPBssevv5mDypsU92
ADDWwfT1ndSKNFbYBH5juiw787wE76jVkN0kUjZ4mJcQiBYRXGk6KaE5J3heo/p8NpODIpckTzSX
UqVDI0Exi5g6t+dBcyl5W1nyu1VAtPE2nfpbXShvMpnDBflGqUsKUriaBo7d1JwO+qFeIDxdOoiR
8AZ/SYQ2zdycy6luTbviSHB6TZskMfpNH4f9OlezaU3pBzBWcQW5S29y8j1cBJbWWTfV8VkaB4cc
XSl0LcXcghsPbbUwbrSq4KClxnTeMplu8aT6Phip6kb3pxsz1+ZFwUsnqSsaT+sCyTaG0WsnU1iz
6c/XxVTBvuAHbRDd3UMdpaa3ZIBxio9g5wKlbNmgkjmfDKWnmFntTlnxqPflNh8ibzQIgGiKozgZ
Z0k13YphvOqjhE1aGd52qQwDs7LIP4D0Xghx7RZ+iv6giwfmlOKjQqqRq4xq9dDpNHnLAgNNEnKj
G0CfMWYqD/IyKvJlbSRGWLDQxIpfGRtOFKRLniouK7YaEPDQ5+knTX05y6DWBXF+aOkXEVS31fTh
cqgb7/NdgPzr6xBnw6wC1MipfQK4zAwGNMwPWZouqSa3VKULM8ueKJc1vlqLL2BKN/1YeqmZbBo5
pN+HBk3Od1SqveY3dmwll6HfXemoyZSwc+C8wpjwvxedjvicR0CdzYMuBs+fv/RfvnL0woakqhoD
msUY8m7soWVdQcBnkh8GlFLBdCPGmRMW+88vYi16lr+2YT8IhBYuGpx1fEIaN/rHqzQd8BoOef2h
DELyP3R1qxQUBpHcdBTlPZowoX8QyrS4zC3uQTARxLcs2VklhUqhYRxnGOTm7rILFes6Z1UC5XqA
7ZTylAws5TLjBq0IDhGI0NFH+jHIPDd6huRiWnh4mpQ+J7QXpTSI1vNQAX2R9FWIPXmVtMqLUMue
Bg0esVrFsU21JKeoFAj1HIxYitjahPq2muXvkYqQnQNotwxxRiM9n+DS0QCeAKxLQ3wuhigu5hG+
SCCBpgsthApSFNz5nZTdVAMxL5YU7LWMXPlGL1tkgAOMapY4JJH2FDOMLkX5qIn4S8YZn7ikpHtf
fO6IrdSMLXXx0RTwpxqDtJli9ZG4nnCVl/nMUBRPBcG2s8rWg8zcxMU9XbijkG1QW3BilsYzJvLP
CYGdL1hL1iJtN6av4blczHhmm8qLlAYqkDxeZbqeHiww9pI+j7vKaM4/vx2kX94PPJBIUsEuS9aS
V/H+rvMVocj5u/aAxPxZsZrMRdmfHnTUkpj6w6egQe4Ig86RdDqyEXoEKuo5nwou6TAxNoStn7fM
6odZPtcK80FR89BrMq0ClyUym9BkBAFYz+Ec94sCVSVik0XdZeaAw6gW2I9QiMSsIG1Bq66DLBod
KWwKVoOusdtyORvTXM/ml5rEMwxTGvSugtTMTL7V5Ym98xS4sBBdnXBkp9aA19eD/hCb+nbw5Vfd
GBcfOWUADq6ejze+Fe8NeLVVoVzTs+UOoWU+yddajzYjDq+rSLvKDGutT+2DSc+C+WAhrvSqYy9Y
9aumG6AbaoD+lBh+PjF5LoKWZ4F7wikt5VFShAcp7Cu3arFMhIaI90Qgq3gsmKjVa1GMt+S1ruTC
IH6pd9WEOGbTHHZGHfOR9A3LPDjbtL1RhvJgmeO2KaZnZRBfKqV+zg2QPhOvs8vdpE+OBTwJI9e9
oVBpXhPXHOWGI1vRZVIKyXYyZzQR00pPYXiVbGjwQXEu4WHsBeuSIOg3GIEL6kd0VKCebcskSG9C
kvpaupj6Xm+UdaRUfEsSUXm4fJ1h2aHCttwLEsM0abiHybTAty40jCkM1QA8CbuMVTwcgo0ppY99
2XgVUz1rqzIjklg1U3/w8NKt8jorMTVXsZsmxCThfZ/RJBkW9IRBwr3SiBTdGf1cLJl0jcwLGlKb
IG93wVDtc1Nj19umwjEtoU5PqXGmBsh1GBDSm2eOphBH5QyERoTlcC40nBJSpsdEVhTYxch7xcaw
MhgWDuYBpobOxErdENl8X4rApjLxXAe2syIDZR+HAzZs3yeqVUbA1gBCdYzYz9dDD7WXfcOmmFpi
kXRjU/fsQoxicY/62FT9WvpiaftV5X73pCrL8ffd+iCH1hRbZdId0MExIDlnzuGMfYar75jU5xIn
ls9rw4ndYWHV0rP7szIoJ0ZEGREipwsqQ1F8l4zXfrxawNjBw6BuPr8Q1Jef1yRd1eDFoz0woE1/
fGdD0/ZVTCrrYZaQBgLAaJaW9I3WBMU2LACPEdKyK8tIxHAnSufmQnvW4wKt4NLxGvi9TiMJb6po
Xo65gqxK6e6Itj0WonGdsn3j1AMrRF6aYvDS28DL2ugpx0kuhGl5FXS0+bQwbNcwEnZaDFlBkVaT
JA4OW7x13irGvSVb1+UMDknRzjql3UaKvEP2udVK60gi465m2QYjtUtksOEYr6BEO7Cx77OyXkWp
vx1KUhhSOCmtlsEAhHOVDsFjNVr1vbyQ4OVGCb74VD/2W35f6N9/qCdGA9iheVT75ngwx6dw/jaZ
v6fN/q0l6Kvff7JwiELKHjlIpkNkXpcxsj3l9ovb4vO74gdO8t39nulZIiZIsw6afBHhLeNjEsPp
dyfN376L5VM43Q4xz0KaLOmSZuont95oNOALVd4F0j2iM9ohY09yS5LLF9+G/PEex/cBPwnrqcQD
ZbE1lU4uNIEJHIK5hJ9uSy8sau5N6hEOuOrtyLm3c/t+qzv9/tsV8Zp34+o5XU3feKKbzVfONHnp
s52+43eP9Y8X+u5jtfrIKq2AMkLiqSs64mq87tbZZehZK4s5uCet+Zw9ycGdYYcryy37lXrIX774
bn/1Kt7fnUvxefcqUr+BJV/zuT+MW3kFrNezLgz7iLc1dNf3mrPX3WxtHUJv3OTX2uaGceZ63FD3
7HldWDa8QBu8sgvWfpOvm2Noo3kO3Du8Jgcywtfa1toWu2FT32be9ecvfXGU//QBvn/pJztoQW6i
tCQW56DZiGO95juRdjeSWzmx67uhG61yLzsr1hcv+1W3ZSo4OvFZbFtnqE8dFh/Igfar79x9/qrk
j83Pnx53/WR1gCXS1/DupkO4tezQmTfZ2r9BVpgQ0WXrNrBjZ7JJ9z5UG/mJRtrq8+svt+/pXfX+
OTqpNpQaYWrKaTyIc7EyhmFHihBqABhRn19nqSqfXeek6pgRQvJ+TkmjZ37VDy/iuBn0b5OyqrBY
CqX3+dV+/VX/WR1OD5MCWh9Fq+LuEBoJJ7+rMrj8z13g5MyH6j/VdSYuh0TbyTF9QMtwP7/CF1+M
sTyI7x40ISvN3AC8fiigBRFrWcoPM2ryzy/y1ed0UtwaKW3iHjPwYVy+FfiS1vivMMK/LdRfvY+T
G6wr5qbLm2w6DP3oRPohS0ZwlBefv48v7i7jpCrpfiBMNOdYDUaU4BYy1bQ9KgppcUDK4kEG+P6v
sdY/e18a4klp4eVZixjz/feDW1Hxy6jtDipihNhLlJAm3/rzt/XLr+fdNU4emjRg+kdExXjQYpX+
/WWWfdFV+OoCJyURdugI56zqDyJFm2Z0oqRf3GE/1sfPHvyT+5j0NYI/U+5jzgZ25TAB3STnHBGc
s9oJV8GROKvd55/aYjL6tNYs7/rdoyPR/5NaOWSNeqAxnFNVCZa1MU08S/t529sXM9AGlm5thX7J
Ni8F+6pdLav6xWN1oZxxaidbZDW19gbbwvqrl/fLhfx9yT29c6Ka7DOfh046Lgu5YBM8rm5zybGT
tere5/YZnN3dm/iNw1l9O+2gyn1RvSCofP4JnXzvvdDoYQWF5NC6EItdWD0ygUK71L2yDvpeWXfu
o+z5dk7H1qvX5Rpe1hcV+quXYJyse+DNBDUfyvYg7Aob3ddsx6+aJ7nGrvs+bspVtjfW4LbeyHBx
xnVyDNz4+xf3ya+X3r9WiZP7JOmVjOAjbs3aGz1Yi3a07Oq2iXPTb8ftFjWbPR8Y3t+LHoRZr1wb
F2gv3G4VbvElPP3LHP63FeXHweynR+Wvx/0UPmAK6Os4KneHakUiL0FR7ujN3ryPdpL9QlaFlzjm
lrAmG0qUY9yuEOzwFbXrxLuOsLGj41/9+IT+rcVXWIU+Hd3/L4+uzEvUvPzCJbn88B+je1kmH0Yy
TFXUjMULyYP0pyRf+Q2+g0leLIkzH12SBsFoP1hBf/3UH6N74zd6+mj8sa1bEoanf+aS/PCYL551
E2skgQLa8ksXy+WHQqilEJhiv56Pc3tfmT4IwfaL8r78hne3rCbyW0X8CLoK54lLnDxCc+njaSsV
TNSjwCTc09LIbrRX6HXvvoCL33/je9jbyUL103VONiqFIJVVDRHmqBFSItX7wXj9/AKn84efrnBS
lQOpIiWOGCmYOYbdq7eG9QYI3LEEBEw9WGrRafrHstt00UVb+LYUfY9DLwgu5AL3+3UwkOdS7XT8
jUR1kmBz2cXXA/y/0cq++CgWeO+nn/nJrkCJBL8ltYPPQiEoHhdjed9hVmMacBz8yPZ9MM7Tm4EW
uuIfkbU5n39UP6Ahp186OlVNF/n6NQZsH2+rHJgclANjOuKrpF8nWXW6T1RZYYRfqlW50Kbybhtj
yKtBm2jdcCWlSEuHHCViLwoz3V4k33JJMx0t8DKnbLt6nWYPcqac4aZCYCULsXQ7KhmEl8RiaO6b
jHLieFUz+iu7yZb7Ct7TBISHCMz52OvRKgsojJWAAXBe16N1kckX5Nl6fvfQ+KkdNDdNYJ7DTAJ6
jmyN9F0ZoaZCW9qgeT8hpku0m6KkbaqTuDtXiNxRyHVStzfEbLV0K6uHBhnFJBBeM+RMUdXLOD6P
x2zd46O9zbTULhV6x4V106q6q8aaHffMH7QoUF01qmD2mxmI+SR9bGmNZRmh8xZjKxen2Rfbuh8t
xb++oZ8efPXkcRkiiwjXsZmP4lrZ+Nt5394ra3NbH+lT79sN/fYV8Q4Oche2YWdYEt3xUdgmXrsW
1zpwlviLccXy8Pz1ejA6n5SJk02gmqadkS23bJFskX2gGqnZkHmV+EU5Otn5/XSdk4KHjwbWUsh1
oP6mN+NrFThR5xCMo/tfPAQnoqXf39L7h+CkywrrNa0VK5KPoeLEFwlosNGpA3toVrHlBEc05p8/
db+qgBKgNcDuoLPpSn186OiqjYaRKvJxgMlEcHAvfHGGWn7B6Xf0/gInnx1SVSPvA1k+Nr3bMTsa
BKdhBvP5u/jqIidV1hotnYAMLmL1u7nCxX4j60+fX+JXS9L793FSHifW6rpmfHVcRk5jOtiifmXF
B4tG048L/Vfvjs4jJlxN8db+7+U3vxRIQUmlaf/vxz82v/8Zurn73D5/+ANS1aidLrvv9XT1vWGG
9Ac3Yfkv/3//8l/ReDdT+f3//MfzKwFt+EzaOnppZXYzP67wV2zewm39++3ROv2e57/+oT+3RRLZ
eDp6RbJard89h39ui+TfaKWq/A8uo4zm8S9FI8QJCoX1Jz2Cv/pjW2SBhJT5XfwfkwIAPP/EqSjp
Hx8m6iM6gx9xezL5Sery6z5sjPKpMeSxM62jnNWojTRpLtf1j3hQRchDmalC1vhPuLHrS+VHmGi2
5IrOzFH02NrXuZUghE++JViol0ygXmY2MakqntlSScclSnXe5iPynK63LjHgvRGhEDnEeSL0l9cC
ectBE+HCqtYiOcwmecxjKWyEKP2GWlFhUlXsg3i4TJYIZ72tXZxsG0OUNyJGPltBMUQMuIDTl4ap
ZB1kvB2RDGMXkVvqIQHZTFJP6LIgfYtJkR6rXtvWpvFQki8918MLSu9zwl1TNAMEpT5ajDBbyNk2
OAPuQdNNlsDq2CK6mkjL6jhj+4Y8lztyL20qcq77JfB6WKKvE0WogSQTh03Z4t3mjM+bYr7HC3lu
zgRoU6xkFlxCtWXMjqFKZL3SBV69BG9LNTzymCxuk0xu6BsQ+ZeYbom87ozc7i6O8TMVx3EJ9BYy
X/OyJeQ7F/PtsMR+W1GDvwWInysOC/B4iQdH0qYwncwyRyc7vCRDPNOSbRMwyySC83XKIAaJS+B4
XfhgIxhOKMH0zMYPeJIkvbWycCaRVo7edY/klBSqJci8b5ZI84Fw82KJOZ+WwPOR5HNUjN8zIR8e
+D53rfY0Z/q5GjUwmlN4tPGZqPvXwxKlXpMy3DBGtSomsHLeIdBHAgTBPkXIpttILq2KDhzqhLQx
VbTsfbiOTBPyIcnD1rlMYumZkRT9WkbVveVzKcWVKkblOvRN69onRJwBwCSh4KwKjI69NqlrwARq
6qbdGKylaWG+k5wk78kY7Mjh0U1o6In48N9SD//nRWsvvb2/L4fXBYGFzz/Xw+Wn/qyHBIwSnkHR
wYqNCfvjMVFTiHDTl+PTIu75qx6aFFFZBVOJsoiN6PIL/6iHwM0MFNPL6U42MXH/o3oIDvDntZ+h
sSpzkjMVbOQn+7MkB3CdYEs6klIHkElb2EzKQmmq8f33KnBYMfOTDQcPkO6Sdee3RNn6dYgIVDO+
tVl6TYqOZaMjd7u2FYl+ib4hzdw2fbVPhHgJca4JayN0A+xsS7NUehoMbs0GgPcuq6otRjv0htER
T/E2g4VGIpMt1c0SrIU2oJ9msiAac5OTRD0PgmsordsOeuEUwnyR6J2/iPGuOIE8WmgjHC3JL6dE
kFDZCTdCGNX499g1VREuIQSQpG2k0fQ0BAuWXIuvmpp6V5PwIGXaLhMxK8dzvp6w/5yLpbqQQ9BZ
Sepu1krySbud2fivpTXsIvYu2NuTS+IhMMTl/jlCC2RLsvDI+WxFmL30TGopvhHQqnNT31GkXwMD
IQfssQq3eno7GsIryEneSGphtDTPpzSAosp78MXkHFjncxOjS+z9JFoNE5acUK60da75JJfiUanN
7BbW3BF1yxPcbZAThrwfzWrdqmQ4WFmWI9+BLQJlpvK1Y4JnEVHGvOkGiWnbjBxbt7xu0HCIhGux
NXunMePLHLue0+c4p5p5PzQmo3q/fIhCDVuZXMUwVcGtN5NhJ0n7oM3DboDYZbdN9laY9Tk06GAf
JgSlYmFmaq+jACaCio7spvHBujRVcCOn9VYsQ1KsjdY6G/SuXMl6+JoHxnXgT+suGcZVVmRnUyGj
wlWE76Na7mYduFLc3vPvNnmBQE3tTXNVyGjAw7i9wF6U7q0xu9H3OP8xqxqZq/M8uaHik+jWNW+Z
VG1io17rUNywHteBx38I/KZalQUqVTHpydoTmmsWz3WsJY/qJK2xW1GoTW33w+zbFih28jzjdB+S
+t0kntoyNcGutJpClLkI+Ewnmevz0sJTFGeLQmBS1nJQ7BJN9VJr8T4D+FOT4SwOUTeENd1Hi89e
9Xctib42YRjG9ALTuL7HzKu4IflrJgHYuXEll0wiIOCAK7gUS6u6QkGVpWsJDkeriF4CpQntmf+W
BON3XwMgHRYpy2VlnBn5eNfo9bc26Sq7LIpLOHBrIUwuJVJ3TTMDK6AzMB4NtDZG70apCDwZAQnS
OZU3V5LBauC1H+MNMhl1FfoqqJrUmJ0YbLJTRplLRpan6NPzqMtuRQyISTK6aE23fNHIOGISciJh
n1fhOkyEbb4ErkOPCeIUabe/ifFdJGaO5dfElqfOcALae8DAGOnRiMkoffrMBKkboQCLqgSLuAyV
1VgPlm5nZcYXctfW8XoaO68zB6yP3ZYeSWAnuYEYtyHJwnrICAOymzrc9yW467mKsP9memfPCWs7
BEaltV6aQeUhQHQ84tZMAA4q5XSOxGo71AoHdkAOO3kY+G4XCzidoKYmC7A/EmPrNrF6I0YBqKip
ZmNg6Ngk8pVK7B37DZLSRsnypES81jr/O9pp7s4+27ZWYDoNAmeQTaMjVNpGVXBWkkm4C0tsnpFm
2mbUO6HanQ9GvsOvDPOIWDY1MNEtdrBvzE237GYmcW0Z3UWk9/eiXG59FXEUHZpVEqfUvzEnnlIv
rhQEsU4010dVJKUoiDcpBbCM+oOvzzcV42ZcGAuf4Yx0JFuvtCUbZnLnWfZ0vV4pgrQtCg6HDSxq
qrCCc7DdiTmh8VDM4DeQW1uK31AIoLqXuyclMqEN4PrZ4oa5AMBql0FwKc3m3jLhSs2zEMFKG9gm
wTMuiONF3x+v8LdaWyXQujUHtgslFbwknS5ky3xT5NnLEZ81ertqalPwoqjKnUFoySUpL1rDvB0j
TA6ZpgHbzjSCW2I5fUgUf8IC07/FTbcLR/Eu7XJowsU+tJreJu8FDoHsylH9pgVItTupPIQj04B4
vk0kGUVsn9xRgVcNOIha8DHziNajoNf3YzXuaPCV0MAzg3Bg02mlcCcDPwtH7RgMwU5tW8q4Om39
ilBgMvqqSd3oTZPc9akwkB8s5JInzO3gmKO5SsVoK2sQG8shm92xCF8BF0Gn7YsR8bz0bJHlJ9XY
adguBECZJG+sge/4SvVmtDAerZaxWoRDtpvGnDye6L6IZfLm5Cs1yQe7L1Q0rc2LZspui2LeEKZj
o4/bWaZ+1fgN7FzLb8dJuMP7e5NGZEANueKSO8WEbBqOfaLPDvrp6zmHm5l2cXdZtzBENKKsN2ou
4hH3e0jzmaT04RcDPfnjkX5pZ6Hx4Xyjww5URHnZI70f6DUVUWIT1P2jdJ3ZD5rXXwBwsjFaPN9c
NefFWbQqnHYT7bU1dqRN4YVnWrCJz/8dOfcfv9N7JfaDf7/B3Wbl9zp6Tn/e4i4/98cWVyJXbkF2
gwz7caznyP3HkV/SmYQwHSEThnXkg4kRpyImRZEMOH6QUQkb4z+2uPJv8GdhCeFAoCPwD+FE6Pk+
bHGRe5OvjGMO4yahyLTQlpbAu6Ew+Z91PgrVdD4qAHOWYkzUQWmQpfAm4qDTSNxqxZaQJwW4ybzB
VZYMpJSOMUE2uppc+Uu6twmRbFNLvTEtIewvgYg/mjTjZ4IbrhM/yS6mBOppNeuyp2hSYGPP5P7U
9bewNAlewg5DKEoTeZAklJXRRPWq1QfGDZmk7Wdsv1shT1smkSA3JmdE1OvEcVAfSqZFhApZezAw
yQ7KV+425TB5REUsYwdE2imhCA4ZDIBtgDAd1H46S7Robxatv8O6lLA7sDAo09FgSZH1lGUEMuRo
kXWrtCPmYKK+HCkxSlZvgpEqE6WyqAqPKSE+pT7mZ0bY3Ug6Nh0/w26Orb10Akr+oY71F5i2TCEK
QwL8Gr/NcfyEdx3CnNpLGWJuw9+Xajzdgmzw3aoOGcYrHGPD+HsbzPIj6We4EwAseb2eVq7RpKDx
OLJWvNzc2oHak1b6IApnajmKew133zoin8EO6k7f14ZxaeJGvAZFvx3C6UYoSaYu1JyV3GSfo8Pe
IFMid2Ap61RFwvxYnRcqwkBjhDPCXgrZ+hlTHWqongO4QaKS7FofmPM6yISJk/NcM3U4hnx3vQxK
6nxCAQ+lKCCfFe0Yv8lyTItlqDQtxg8yx3VtW7aTfCNgUqKo98l8Vve5dYxA8lV2MZv4+y0+BP9o
YfXHap9Yb71kJXsZ6hGa7fla7Ylrcn88tP/V7cr/ecfzZf7099Xr/LmOyqL5xQF9+bk/qxcNRtGg
HWnqnNOJH/iresnib0QLKb8f3D+czxnjiqoEPs1U8UdrzGr/LF7Gb6xUkogtA/e1Iev/aIyrnIz8
WADRCVIHKWGKpdI/OJm4xdgeZWOWw2Mmzqp/Hsq0m0ZJDE1wBHkeXADx1s7mrtKf9FAd6o0l5EC7
wZGQ4TAbzR1HseLasiKNLbvSDRAFcqO9b5QOx95CsFrpYUwgWCTcjTIu5DGYVTxvcuLIo35hmmAJ
wSR2PelK6fSMHPYZkKVqR+OV3pgZPBhxLadZdJQnzkBSoq/GnmBLoT4L9ZiK1GCWDGpYISAsn5MK
d2I1AALpsKDAXWD/Os1sFS3dXIgJeC5yA+tAh/cgII+iH0j5y/QrtcffQfiJmyjG6+SjOTdrrEC9
9Fzl1XWpyE+hGcNT8+vBy/MY84o8Q5uLrMwpetyMKEOvYt3Y92bDnJGCqOfpnvy+XRcmZFf7MMDV
ZqkMdUBWwcB+rpyTq74qbyt1Ls+VusfaskRl1CY0JuAeuMRVPNJ12kROq4yhM+ZBuqdXtJqN8gHc
CYdpiaiaTqy/c/ifVok1piuz6TaI7tYic2GJyOfSMGJSlS2H1MGR0ix74GKoCTGfQeVLgxP0praJ
cv5J7Ud2aVZxl4fJK9m+lybna7NMX6QkvNELOg9tG6t7gGnbqBQuo3LpTGsYvfyMgXVAtQwQrdFp
wP2s6zdqTW2k6fjK4XI3T8pVOZnITkU4X3lOf5Xo8hiC2bjLmfG24tDjE8vXaYQrRlY7QF0S++cq
p4XQpK6uY3bkJLrCkXUNPopoBXoGdiiaHpkx/aFbcEiI8Rjj1uq2TfTsjmPn6NZJdzn3vW5rSnjI
iSoE7QHNK56623qKv/n9QChQWHe2pooe/fN72mEPhh84MlviNEPVNy4vQ+yvhMmEajMfUzolTSR7
ln/BzVqwFHb71Eou5kl/inTCzHOs+149RkQukrlNG2LawRCllazF+0IuXCycvHDBvBeMUED3P0SO
FI++I9RLRmRy0MrsCH9uR/TsRd+YUKX7GoSAoXqCUj3RHObYKt9m/4+9M9tuG0mX7qucF4AX5uHy
kABniqRkWcMNli1LmOcx8fRnQ92uklQue9X/39ZNd1e5ZYgkmMj8ImJHmwYc261d2ZsnEYHMys1u
LzkArPoKN5HffLZj6xvAr2Ntds+qn31uWoujknmIe8ppZKBWBIadhmAMn4MfZ99TZeArNgUgrMe0
c8vcPPHi4cUO4X1VG4Sa5eyk+sq5YtTAjOabJPlLmyaphRUyD8k4W85NcPREh3sra/O70GQck4pU
xVuYp3uJ9j4oCATLfQDeSyvLvg6YCbxWpBel8e9TeGZMBeHaUS2zcezpkObtsVOIRHf6w2BmX1tN
ASjERQf1EpcRoSHQMhBSmlRe67TQaCU7EYp0jx3iEQQfO1+JJHd1NSGbqShATEMwAq22j5Q6v6A+
+s1u7BXoplMO30oFKOA4FeUHsX3XZTmqfpEBUgDjTFwplQmCNPz2QV4UDDN09TwKfSfJkXIV8sVa
8pkblN7hNDN6lFqztca7qcqDa0b/6T5GsF+3vAXekErphhEcB9YS1C3WAT+QF73ZhptW0iQYVCGX
FmzKVlKMw+Lfx/QrLkX55RT9UDT/87958Jw+Nz85Z7wZpSs4pBik6wBDPkJQFfsTT0ebQblmspGd
n6I/YCn6Jzqnyc4yK6cpBPn8z0e1+slybKxWHFuAqcxP8R/66vk/8jjS7N96+P5yypih9BxViYzw
7LfkDyfV2GZKPeTIzR2PAcMiarnWq7s3+5f/XvOtF0r9UDXHWYarcI4BKED2ir4F3p63Z5nKj2jM
moz4qi3iKHULW8bO4iDdLX1NTbxYa+plIVSFrjs7h+4Vxst08vc9NKhrxq6XNIJMbYTRYZDlzpUV
yQB/3dGKq0QESwLsjWq27frwGPXOpuyUgzwNl0aox2oq9mOtnaI62MkxM/qsR8eK5cpZWSJFEuhI
Zkaq850esIEZH4HouEU9QHZ6iUgHgyiltWJBzZIDzZifZ/4NkQ+OqrkbpInowzBabis1iLIOATCo
5QWcizbndKbqX3xC6msrNbRHNQPjKmGWWEdyEhJD7qoy9cjqJ2QbFcCCNrxR2CVgA7cAH1rOWBrZ
b9GIcW1BPkTAs0MemFqp2V8mtTIp11bTdS1NprFWaEKZqiVfftmqlp2RtcIH8WlIJ+r1pCN/P1Oo
iGH73NFbSPnaLvTIRYXA0AMxxK0tO9owOk123ViZ9pnrNdojs0yr2auC3Ygb8LgtrNoYz6GColsF
wtk7tWnt6HEOHjhL63e9FTLrTQWHgTbv9K1dJAbNXuo8vrfD3jeX8tA4t0Vhw6fN9dKTiO26aslG
JGV+vqwCYm69avTEkDvLa3nPD1AAm69NGAAcgBMlRps5ahVtJTVTPHzuUE2BnlxTyr2LZZF6TqE4
1wE9BOBPgJHawglXRZkBMUt0ty/w6lbRHY/x/sBH17tmFU1eTdGH2wAnWozpGO1MAPye1YppTexT
WeaOr1815PbJ41fN2tT6zaAzpQ1HtbkQElc8W8qOUZ4ewRISx6mji14YWzvsyOiY6aaIINcHmnxu
nOEG5ER/S6mw/UKT+aKhks0cRvOliDrXYOqb+JXyWZa6VWC2cEyKxHOkjDkzc/mRaTLZ8e9N0z6T
gHkWsfhSEQuutX6HgrBiAeHoPq31UT4Ku3c1h2eOoR4mirrZyH6Tje5YZdIqHRRPq5FhOvGErMvj
6MmXO8UdzFRbjxaA7sToHwwz+pZOpu6ZTdLs2n4IaIKcDmpGdV2gHs2yc4cueSj5+JpWY/dlW57f
myvA65tOnh5Gv/GCjGaESq4WGkRUGOi5vMW1ELuKCF2ai868xmuj49A+RlPgkh+EbNjL0THUma5C
6Lm0ad4cyQ7vA3XkZgZTmlYj2z3f4i7LxN7hSyQTblaBB4ywVO1SO+hjccd8cpkAFmSzfsmr8mDx
zz1YpazrL6ET7VIV6cZnEBgE7AtFQlwyHEhC10XBnl++SqTksUiUxzLJdlGT7IsU2FCnXKZBcVMw
kAW0B0OPl1Vaif1kWRsSWigGQE0rQuqdY7hOzSycmSybgGFnF5OAIpDnO7C83zPhW0Q289QVAaR6
Y9SSdeWUa8gE0vUkpGr165X3J1Mk0grUU2H/mh26/Pf7lTcUClsMM4XxViWq16eO8KxeJG4GMPfQ
ZtrgWj1bvCLMmKpNz7hWm0tVJfJnmyPOohjH666OD/Lou4lj3clju65C8yWnEcgtS7LLlELQ4SEw
nE/c06mPrdM3miXcIPC4Va+6lt1uAAl+A67cLdn3fFGZbHm90sLwl1EbUkbiFcatrVImpPNIPCtx
vVZpE0jVYt1knJ3S7Kaz4l0HZHNq0l3V4QsoC8Q+1Vm3g4AbJ6KNOoYGjlfOTT4AulCP1wHPJbeR
m2tddMqyDM2dHDp8r7VAPvitQot4Pd4C7tEXjtlV3AvqSY9okqxMk1lWlBz7croKm3ibDMbaoNoc
nana+jnNEZ0NzBSJZ0VVhmcE5SEN4JlauXqK0mGfdtmG5xqFECV84EI0qyKuT0gb19iPgkWf95w/
cglgTYnyXNdnKAw9gQInX9R1fKsLnT3hGH2l62Yf9dxMIzeoXU+rJKlmnutaKaE76MoDOpSbaVQg
sL0dWIe0pvheONZBrmQ2+I703YfmQHdFBRAc70mSZpRIlvNa1h4iy7xX5XQlywLkr0QbWKYqy7gR
iaeHwUmbDMXFWTTjumN7AxK2+1LQ/7lHxKiPKdDy7a9v1Y8OJ7YITDKgQ2APwGvlfNgixPh8xrrP
QKuCVtLiXQ3O4ddXYMv01i84g2EMBeMCaWFyuLbywTOgmQxNbScIrlIzhkdyirpoE5XX9RBzJ6RE
vaqVE3u/vuZ/vMVvXIp/ueqHMW5XJm2pa5J0lAX5UlUF+cH/4Kl4H+jsPUInJzJuG0C6tG3fgZHv
Ryw8aQ7hRFajYpnX030hWQcKxXB0ZyGa7KB8s0PdcjM5vjXtbHAJR++tVH8w/WTcKSk+CO6mvPC6
yco9u5TA0JVUyFu5ENtutLRvRU6fpj4hzkRR9IRJk0pU2QxdVmDhtrYpL/vOuYEmNa1ZD2+7oFe3
WaCdQ9F+hyG94aH0uanrldlALVCNeKPJoeTF9J0t0iHHijB18rKC7+vWgwEsm8ELZxCmsIiDlRZw
enbEnpv+pWoGddGU0bbWaQwd9M/jFN/pcrIzWjCT9Ww6inwtXcYthcEmNbXJFKNpgtAXvupq5AV4
wCSssvJdL8NBi+IMxty4zmsYK/7EHSwDewmwIWilW8Qo0+UU226d+scSWBTThI1SIBTZwXjD7IcN
HAaMroUur2mtvJysdi0hFy+UrvhqBtWxlrNLVeKXa8eWUdCuNyBz9oa2sTCZu6Wi3OYi3Iw+YOi+
7q5ggekwq3Gz1fqzXcnd0p+pWYa+Dkr9YA2/S+S8to3+6m774BMcdLYYKv63Y3zIz8GVtKr21RdK
e7dMJQ42j57lkzosjJ1yzB+H36leH8zM/73VZxqSydBYceYv4BvFQilDO0/wgx1L11jkB3VZrjrG
FHvpzlrJnnx7kpaHu97D2NJ/5T/SK3GQF7to5V/NavVvfpv3BxsWEL7tGhhIAwmHY9THbJKQh4wT
ehxehfIZjyME+Lv6H4Y8/nKN2aX05gVPddZJYZiGPFyfA4aY4vLr1eOnr8GSHYocdc3EI/z+789G
c2IaUPHwls4Vo4/aYM/5nxXq3yn7fJr++yn7Nhc/SUrNP/PHhN3g3E6hHCd3+7+40j/0QZsjuAxj
878dnqzpP87tFqIiDmLL5GuAd2bOF/3QB41PgMn+mL3/Y0vwPEL/86tuyMz8yUjxO2CCY9CufXhg
ahBFoABaLQFlk2NOkUaI8BkthRehUuUJ9NkJ/cnkad7LIQHjPhk8A1OTQi+OKnLGsyKirbKyo0qc
4OIA8VrYWKtqYH8jGCLqH9NQW9PSTk3KQtfTqAFK78fs6STfKfLHiTmgfra6zqlz15LLXt+PhjE0
YJXA7TRf2XnX04Tnw7cajmA83R3SHH2IV6kpnWNYySEAy9oknTLot1VR0q1FqVDVcXBc6EmcuUo1
9PsIQ9qKxhG4J2nSXStmMnyTc8MoqX0Lg2+9Xo+rtJGzQ2QmhUexun8VSwwUqQALacZQKPS1B01c
FEv1t7DNhyM2m+FKofEINGn5Ugz0pkDNVuuvdoQbNm2BanMEMajPMuL2M08bINxhbjzZU+qs+zAd
DgENIj5tTetU0rVre5JTb5zrR9JOHnUwRmy2DMwUdMDJ2KVox1slHSM/vVRK/BcNtXALjcYUPiay
LfhnGIXOLh+H0/ijNpXTOZwmHBiJ2qnfEr0x9l3VBFvBsfxeMxoNhqAKIh+6hjvZWXfquuSJtzTf
Vo6p3ChNJPPEJAZ31AnWLCBWhleg2DBhCCO6MqKmWTtOWmMadOwrnEUGGFR2IY7ISDjjL36CvZ0e
qIlqvnTZ3M2JG4QCwkiFLKuk9IGE+MiEw7hcYVxwURLo3iiMzVmLeMqCwy72EPX7Pc6RHWD6iZJz
iVm3IcaXQQ/TjV1mwW4sIp3fLbakY4Qes8uiJsVVKKjnABAFR1Og4pQBlR06/XuLEbTuCKfJ8Xdp
LZlfKLi6o39QPaiSXZ749f2VlFBN3xQq5P66lk9iCilqt4d4G0SAsAq26kc4u+I6rO3B7Zuh8kTU
jV7QT/6qqZomcF8XlH9X1nnn/Pcr6/65/knYYv6ZP1ZWJqJAcNiHWxDwQRG80y4VhxjGTHA2NdNi
Pf6xsrJ8MvYEwyezeSef+mYiqrOy0iYlWwbVcYAN/xE+2prPAW8XVhqhMLqSWWLoY802nvdPXUsp
A1kJJ0B1jUU3Ip16TBzmMZlV6c7a6u2vzNeHVVUaGF/FFOvSLmvsjhoSK1Ljh0ilruQU+kVXbXHX
s1mMwWPKHh1/nXUu9boezuTIr+hDjj7TL0BNWqhNFkVtU4M1IIwfNWalF5GLYF3CfVO8ACYzjNl8
XuJVfQpX7evdWs30wq3uS1kMoLm10uYB7nM8lkyyJpWqAq0zm6hZqfkYKbssG6biJpiwEKyjyo9V
ry2Ceu1wGnYJUgG96VvTpVM5XkuJqLwBMW+NiUrxhrGa1nJi1l8oiO4UeKrCnDyt6fA6CtWZRi/t
UA/xpvgSSQG9lOh2KSfz2IkmRNhQC/MmwpBH2aRVUp5AmIUTbJi0N9AbKKY09TI9jdhp1XVl8c8i
aIr7adAdrGWU9iHIjmFhbSly0uR/Nz//rTfnO/X3X9Gb6Ln+KeOdn/rxJcVFIDMxguOIp98g2/3m
S6p8QuDHe/A6zn/1QP34kjqfLItMACN+AtzA3vkLf2x/MCw4CvElCyiV+hop+CBT/Eq2gCX/8VuK
S2EOKGAxYJfPTuj9t5RCrixUi0g+sUkjQ5xNcy3HYxF8lx2aXYkV12Z+iGzKCaPBUQ9Dyb+vVetk
Kvmpq8oVXOfrtOsem2ZaykIa100S3ue1sa5K65pqVFyzdGk11gNhLYjSc82Rhc/GYEmAVAkqOuhu
yzH/TM6oWnQOT9yqUlqXlMsD00XXNNS9IbCHKtXXiW5zJZ7uVZ0ex2xsdyFWW8A1Fs7raNN0VUZp
7HSPqXYzhHREwWo8j1bIeCe/xXtzcOLqHisbvZ+G+iIN+V1Vd19AH8Pi7oxV7UiryZrOkcP8jFe2
Lp24Ww4OxUtRS9+vb4M79AdKfWcBQNjIjfraqqRV3RAuEpn9pRrUcYEBiLBVxzx08PV9TKkqHBpp
g0wOzJn57KaTxLrQgWihXw+leT2U3TUG//o2NcTXtKSCw6xoNA3lO5lUgi1T01LK4zFISmMxBMDk
jTjftOzKlmPX7XW92dIrj4XXN3ZC+d7k+WPgd7fCNgYs1ZjSJnsA/Q6eNK20Y2rRGWMRpXcM5dac
fNgoMh5eSfdXbcOQQAw94+BRbBhgrcFcemUfHbqG9ywIUt0dMA8DS01ipO8rju5K6Plk1tatgciz
b4sIPKdeyu22sO3Aay1cxIraxiQHCrmGaB3pGOabBs/117SvBvy4htq6ZiKP2WLUBkGzjloAsU0x
OARhhRSjO8esqypG1NpTHjJyl3xSvRoVwxiuqB/RBtkdpuYJNru+dJLqhXgiFFoA6aAQKb5UmMoF
BuDkCbmfdsUrKVRx7Kolf4dMqaAU3qej/pDbI/7xsb8pu4S6EWYVrl4Z3ynceVHF+MwOXCx6K/0S
mDq3gqYdgR+SkmvUfc0AkjBbq3m60Z9x0QA3dZKNHtYPdmK0K43+LM/w7Qc6NUna6czMTGv4TkZk
WOTpwHQ7ayneihrKy2InOKaBdBU8pL2bB8EuH+Pv+tgga3C/5AH5lmlvMheKi/LSa3Hohcl4W+ow
OM0iWKchcFCd820gm3d+SUTA4N/YYD/pbLogvy+JsDUEOx7Y9je0I0vFXrKsaZ4TEpKVrcSVqFRZ
gLBdSFLIFr6mwI12aYpKQkp8RBFskzCc8xhXU13uxrx8YWRaL1O9BwFRiaR++nfr96qJqzwG/v65
cnzOvxdP0c9qQecf/OPRoiJu0+Bks6pjf3n3aNFpFkEJ52uMVQ19+4/9nz4/j1Toho7G2qmRx/3z
0cJxnDGPTBZMAZPxDx4rhvlhhkUg39B4rvAIM6kqcT4Oia20DexMDaSTIqXLrsVJJOvTsz+gbSYG
bZ4dwRV0rFX9GmVhta+vnTnfolq9RNbFmnMvwWsExlEE0c5Gqe/814iMIeElMulTZgEg7xgTTF1Q
xzGtg4bKDXqjWZVtmc1OPdCKRgW715eSs6oV9T4n6/YUVGm2rFRw4kVopShw1HL3wWynKfj/amxO
FyDk68cSVZKnU0qCK+yN3ZBbuziuacDT6i0xYcatnbTuVMo7RxWXCP7WRerk6iJVaVeQxFEEYA8z
y/AwzfRXdi5jXK/jwHMI86xrIcKFwFHPbJYJaDGnXISTeDbmtYXq16U3ISmpLSj0mFavuZEXOK9t
iBtFuYt0uP0NuL6oCkKXwOslnloKjFXlKGTsfDZ2Iep/n5qIgiubaa7eUupo98bgWfaIcoNLd5fj
VsV8FY3bRDSy1xgV8GsK7wdMRnLBe4ZGzMcinfSKVd0IHAR96jRaipoqTtLs54vxMmFlWufgOC9j
L59A24cbJ5kbEhi3sTxOU7TCFpX7xVKjcpzqpaHY1P5srVWtnKDGSE1JY1vUcsZhOBHtzUv/Bjx4
ue5fw67c2Pk2r/seg08R7XxTso+Rzmhk0Tr+EZxHY+dHper8i9KFD2lIPUiYm18DMACLAT+xxzno
IVHagBbu8kUmF7dspeCQ+mFGOEmcUpSzZSiyl3AyXAbqREoyXSwzOnuWem0TrshB90q9ua174lSq
QRt1H4ubMJ7JWVm21kP+w6ntpTIaHUXYYj6GwOgf+AXIwszbp35Q9WNvlNJOaNZSAcatnVl+E95t
Ju0yVQrE61SKVNwyTttDXTmy23GjnfpiMFd1ZUCX0TE2SQV9Nxxz6NeeujVjq8e0xzIhj7RxS/Tu
DiPFYmkfKCtD921abrOVlDnfVVZ8M84uRdfd+pJ2bEoLRUiVyitqYcVWnc8TQTFtJAPee9YaKRh7
3/ds+7mVxn2UIp3p1kGEheMRYFxXI3xqGrd4zSdb5AcDUD+lGHtDiQ5ZSGtd1Bn+MbfLxs3MUlt1
YXATijHYUua3rWMYcBUfkh3ijxvIuEsxLShqYn8NeMww4opOY18QPwJlv5DaPsNgTUOfmW6d1vBs
NuNZbVOlR4assF9MK2JpyVY4XVdlUi3lvikQz+XrsiEOQrW1xSiN/t/loBBpD1sUlGFMb+2UuKve
3RKUsrlJncI8+Y5j7nx7eikr5dqYuq3V2a6WZZ7ZksqXw5FOz4TQW/81NLW1WbOJCZDjY8M+N3R5
2IX63Un4Dmep9tw64lqXaEiju/woqol5ir4s+YyR/tiTopeicS57agmRebOnSYjPw3w/Kkm8pSvj
PBXjKZv3mjHkr7HYWFmxZCHFbGcAAsxHGsLEUkUNz/3OlWxMeZO0ZsO5sZCbsjImaTSuJGNWkdXo
ybTn5uNyIxEVT0JaacrilJMn9HK5WDPFRLPrYBm1NC32wWaUbTcrpEPfi5VIo69IxAsBt7HiK8JZ
ZOnTyaQTMPTb9LlOnws6F2h7446U6R2lpHCgTbdCLJ4Yrelco60hMlOEpts3TWuusPK6RjBe66Pz
OY2JX9H/Ro/PIK8zdhGO73AH+lQ7AmG3nexFMLFnhVtBWlg2dJ+a9uhwaAi3miI2dPzcy0qL7dC+
Mc3y3g6b66CHppF9z2FhVLKMH2ZUFpYWrQgtrBriYAB3vJAO1kALL9D/j0WvXWPAfFEkCoBreSET
yShleSM5/cZupJUcpjcxBWktm2Xsvmz/mbyaRjlXLuwbuVvxVbxqHHulaM2OvBkXrDzad8B8541b
VAChMHU/0Uh9z1+l01OsuaLRSzgPJKitcFgyP/7a5M0yt6U9SYjtJFmYmQCi93VCawMPibD0K/rv
BKXFprVWW7reuvyxrXyMiNbWsiyvDHWaM9t6A2V9y04au7LhoP7390Mt3xV1fA1Faz1HAyO/471z
PFhzG6s1uDutNcrbhYnIvkSx76XuJo2sjT36J38mWejZrveVI6Eye5F30SojkkdQgubKgbiafYlr
56Ap40MJsk7UyHLk9W792rw0dXPKG+MaDIHMDrS56QzD7csCZX6aE2fpITUCpoqVvBjS4FjPC9VU
3Iuk3aucHcuSlgrycbEGPHKY5YR875f5bV2KnaKya1Up56Ou0f8WiCi9aWgkXE5qu6vRMaeBnTw9
zpIUfw8D8zZuMxpqsB0QDG4fwFrhYqZKqAjopVW+m5lEhVB1n9ThVlaVE+tt5MlzixIBdWOaJUv6
N5eTrDyERlOuHC35nNXApKoxWRNnP8cJXUIJcZycMjLm69bGT0zij1LmRRRl9TjyLEKBS0WoM18D
wkh+HgNzHfsjG2jxvZRwcFGQ2KIXMHpGwIO0DEDKIpMYeHUo5Uu6gbHCdcss5SExOvmml2xIa9Rg
RPIa6WIVyaOXFyXrTxNDVR4nIq75XrRgzlvYVgZAi7qFoNHgWY6SJR2K0i5Xde51AOnU49RKsU2l
9jgRG2jq8glbBoYUQvh+Oh57nWpMwvHWb3DkH0S51x0igQfT0rVZ4/woLLZDXdddlEsnOdtEZHSL
5Jpk8uLNvvknlslZvPlzBolayTZ0BoUrskY9GUbQ99ONSMpk09AV6TRSPDWsh+5hLF4Czc3AGPz6
Sj/b8L690gcZqfALoUw+V1Ltq1DHQmwp3jRtC/NL3D1Ghbn89eV++u7xbcIHivzKiPX9C1PtorP9
tAjOvfTYdvsqeMrT/xy+/tbS+rNXxG6ZzTKX0XSiLO9UWZ8mDpLcZXjudUYY604IL6UkMgvWEUKL
2l7941ekU2cyRwUtxlrmPE5+IwL3VEarQm6jc0QgnBqLRcfcNvnNa3o/7Xq9H95dZP7zNxdpfKk1
TJ+LxCRM2voQO6H7//cy5g/uzRX6dmI2AnbpXJdHE79RUnz2reg3F/lgwZlv63cv48NHUyYiKfus
ic4jUDr8Wk50ZkTOAvdgYNxqTmrX/OaKP7nfdMSmOYNrIjh8lNCTyIYsFSvR2aoulUwdWbq1/Jd/
/tah5DFCoe4IeNSHt843NMm0+zqG6BB6GT2nFAAO6e2vL/Kzt47gqWPoKIMWtZPvPx/y5pYVRWPM
5/OQm4eQk2LMYuD4NzHTtJ6BmP8b98F8T31Yg1ji/rzihw8LZxJORkXEZ3nE49LcaWygfv2aPrCW
DRnvu2LpSDbY4E2+rx8Wn6bQwyQclewcH+ptu+XheaTYyTMu4bWxzL1o9XuO789uiLev6sMlEcOZ
wJZ9fO5NrEvkcVR0BrXY/PqV/fy903lLeHKCM/3waZmTYlot/qwzUfqlquxtu/3Neze/+x8/HZ3a
TaIB9KcwUn9/P5SNGimikeKzxdFX2Cq7zcdIp88rjn/zWn72jr290ocFjhNxURPzic+K8RzaF8O/
qabfLG8/vwSWCMUhCgGd9f2LiZSkt/UpSM55fjLwDI2RulA78zePup99hbjZ/rjKh48+qfuwFQFX
iZKnlL5zTfJqnWa9bsnAXUrWqfGbz+gvL0uVdcsCJYnIiXQ5V+i+XVMRqy1YY0V6bvt1VT8OpldN
1//wRvtwCcZsby8BAJE3NKzS8zBBbJBQ5MB4/r9cQgMQjxzqMGd7f4l4HDMp5aR1btInadqiCPzm
An+5lXkNJFIRbw0Gbzi23l+ApZNusxzGPvu8rDPIEm4jQga58/z6Qv4V5BWWn7+fyu7ZeDRMXz8w
E+cf+jGRVZxPM+0L5R3r3l8UeWQ+2QQHBpV5phD/0PrMT7ON1sacZjIsnVX3P7S+2eqERm+pCjgt
QAr/iPb12hT451JHmBgpkb9PZiJsmkDHPixAiq+17Bss44qJgVbfqk6YZhSji0xxw1DqLEZirIbH
xk60+7IwRyCFQ3qRJW1JuCrN3DpinLpsLdlHYbHNptpmRQ1E3uq1udWvQT5vGn83aOkQLoq0mJJL
kSV3DMOuTSV8HAe6fhFDr4SZV66ec9CarJHsSRV+owPMhCJGhISZNpNRWVqOLSiYPE6QhBLhDlpz
Eyr+/XxECveFHE/CTcMsGL8kaUF7bNRNHGXrpCxcBomUQRSdaPOjLglzI8J4E9FIu6KPYPDkNkfn
zPvyG8WHj0EfE7c0M3+plPmqGaNhWWTxhlDIBod2yxQ5/yZrQIZSWjdpCMxuo0B6Uo9lLo4F58hx
TtY66ZRwVvI/K5V9yWifc0S/jqeL0pq3A098NFJPz5ns/Yeu++8Xcd7g/P0X8fA1YcX6y/eQn/nx
PYTOjnyHoqzYSNuyxmr+w3Ooap9wyvCF0tC6AXjwRz++iM4nA+FDRg/nD+XX7+gP0d3+ZGI5ZN22
OJiQAnL+iTqCV56V+N03cV4D+DaSJZFltmsfVmpoHHgwqhwwW58GeynIKv9mHJOcmh81StYDIciF
sPRgWdmGGxD62+q1MSznBuENg91imwk1Ow6DDNsjTm15NXYiplGaLLCWKQfboOl4iCOUWtqwJSc2
jtas9Y6pvDKzAIQG8xFnsp+NuMdELIbA9X1s7EuTiFg+Dvs4T1eSzbYYI0533fbNVu1H8zFl+EDe
KqRzW+EbIRebSSvXgxpcV0pOntAUExGwuF/mWb1pJ+XKaZxny+8ukWafKBXessm7iSjYlYrmXgrs
co80sK9CZ1uHerSlM/0e3WhpS+FNphq3QWSPC3IIlPgmWokfL3jgiLLV7BKLvP+gOenXGdy+ED3T
sIR81boJI35n3Zol2n5Z16WFkuTsKy3sF0mtAhtNryrCkPNwlSCX/rUO21M75S8tb/TCaYvlVAxs
A/1yl1mJtcyKdmM4ALwZ92PKQKCYcuZGanxrlZriapbYTb50b9fhBdO9v4Tstu0ChjgUf06sAiyD
MzSgJObIEbrY4IF8SPAj4fRjf64RRQlEOi2DMnxqMjouRakYbq6ItUkXKy0w2jqz1au8RPIe2pSq
qrr+UvqhTvjspSMttDET0/HAkYB4MUwXl9gLUgBTZsc5VSlhHAqcGetZ1WcbcNZBolKTMOElDZqN
M4fXdQCEcVtaSyPIqT6VA/Eo8mlnB/p3C3/kXDLtIFlMDzpyrxHoj6M8XSpb+tzXysNQknus2/DF
QjNZFUPieGUTX2WW2CQNk9paV+jg6Ybn0Yb7Rl84dIMyWMVq9yRCNtt4cVdWnzyRV+XP47qsV2pk
Nt96DgMHHLDIRNmMMW1txUCnm+GmvH5zk4mZeOobESPtPqvBEbavEhI+dT6pV2GpmjWmZH7HJ4ir
RB9aN+GxvnJedSl/lqh4jIQbgWo18WW4iFnISiR7uJSzuMWjaqdpsQZwzVloswA2zVJYHATagqlI
4WncbdjIZ80sUQRU1llIy14ltQqhyp5lNmsW3IooamnAJfon9/2KGuwnWw5OUC+hbqDXaYAUKNF0
LoCJA7dJ46vKJKikKncYicVNrRAoyhXwFmqV4QuFDaPM4qBNsBJjjpZ4xCUWPcAxJBPERA1b8MKe
BcZMdaBlzqKjMtAdnOm6N86CJOn2Y4JCmcxSZTeLll1KZhOW4rcaPVPRSpXEbL0FWqAtGKntJDxK
O2WWQYtXQdTO60d1FkmNHHsIiRaId/ODMp/F1AiEwoou4mw5tRMVqGiucZb5K4dwtDfMgmw+EQZO
Ekp0i2wWbqVYxh1XFRSzz5+vb1IBDBKxAo2YDsNVNLMSh4lcKvDEcOBVyxJlMWAVUYXX0cxZLF6J
i6AXZx/5cgwhkWh2xycE36zEYEuEVawy0I2hEZGjIXaDdoSxJoDvOJTyOgL4KAN+7ABATjMJMk3r
bBEOtZcrybGZaZGiy8JlBEDSL8sNETAmiJAlDR4ebimR25ypk+rRBkHJABYWZdif85lOSTrYAWcJ
sTKo5A0m6Du2PqsBpGXn28/jzLikGX7XztTLQCGgbOo3/27VXw0U8yTg73cID+wu/7pDmH/mjx2C
8okpGsECBcOrQ333mx2C+gmsj8xUBcWMUaT65w4BzoA6n61mHJ3CDI6T7587BOZJsglFF465CvD3
n+wQVPv9WY69+owpB5HGLoEkH0yB92e5ljRdzoNqPJUtilhpt67l159blRsxVkXrTkpefI56JT2p
bZbdNGTQN3R6A6dkCL1UOPsHTuG3i0rXrjRLl702/T/2zmw5biPttq/yvwAciRm4LRRqJFmkSJEi
bxAaSMzzmHj6s5JutWW17BO+901HdMhVJKsA5DfsvTaQPulmr+bqTAighHMmHvmLP87NQy0BHeZt
sdxi6wMnVpJK7I9R/WCB82atwxO28rdTmtQXwNSMyGbgGcjswAPRz6D8jvRtj2erXPXiUACo3Gcc
XY3Ntkl6D3E7krNkZYQxYMK8FCmcdMvxXzThzOC1vcdqNVJgO3MN30hWu2H1x0DLCcvV+Qguqe5F
u0UM/gFSpQIsGiyKSyg6c+P62yI2IRVU5NvEsfupho6mjJYF26ryamzlPvdh8hICjLpjDHwwZYGd
NCcxWmHuxiI04umUd9p5qr1HPs3rukaNDw1OZS+DB6vy5MWeLOim/sKesn7ipH3q7Kpg6RbPmyhO
7weLdQ24SmRhle4GThwf8nVqD5pTvpoxx9BSOSenwwBKnTES/JGR3KzZ8S6JZsEmbH3mi8Y04DT3
tRbdWIX84qFmNKMCqmxjfotkf6v11XSVe+x6Ox6rYTt7N+bKsnSN1hu75isdmmXbyvk2L80vhtk9
rXP+VYsaor+T5JQXy8VhxYyNluWzriQH2mwcgfkRajuiLptj/2KryZpRKk4lGN2lhK9Lzt3G1pPn
Jl7vLAstY8teUltWhpjv3t2oXgLHa3PvYiI7Mb+gRLfl0R36PARhcEaoR0XZAXvfFjapH4lrv2o8
j9PRQwmpSRiglKSke9uI6YoTiTIYfVXhCpTgClMa5s1pAoCDhhxgvpfupY0+ptU9Do3V+NDZNlt0
D8KbFedfW6OBJpWkMkxLOYZ15mPIhfbg5CsfctpHR9IuCaGzUQ7M3OCB4Eo14+ZDUVVYDFPrSJHS
bzCri4cqiRDHWRaORgV8srOZE9opt0Y0B6slENrI6FVK45BqLFxz237ohujFqCq62xyGvwuGr7eh
0pE/sCnnEQxP4RzZ1FsXd5BknnndAGMidQB5WvdTjmE+GuwrkbIt8CvpBxxxp64Y0xMA93NrFfqR
moJvaYD2bn7q9eiizfFups3dYUzZDwQkoVQpuz2m42YTQwbw2uJLUtg7DzPQYHCbNI2LSx+tRpNA
1nHn5phrrrcF8qlfsO2b2wgH3ocMQdEJOg+7Zi+6mVqNssx3QkP6K07aiet8AiwdNcud1NkAy7bJ
Ty0ML4heRnQQ7WCBuaqtvYwjfysIpD82bXVGyoruIB7NU+/E66nNdG1v1a0I67a5czS/2625PGki
/tRopXlrZATK8/TLjxrOliDJm5PGGjheYpJYs+a5pXZ/66ty6yfcxndulr2SKj0YzLnMoft9pPZv
h62YdX99fl597vvXX7lPeNX3E5RZF6oYBlrGuwzdo4f9b4+t/wYOChIP9wVgvR/cJ5YOHw8Ppjpd
mYa9y+G/n6Bo3plY84402kzEjH90gjKO/rnHxqRuWLaKqbLIJ/N/6rExXi8aU6z5IpkduSHkFHTI
o5IkoxlIwsJQ4O08NkOJrid/1EedDAtMM+lwbFaSy5fJWfOrXvrzGmaLMaxhPjcVVBrwuI79dYHf
CX6z6aI1HOKOFgEP3mFx9Nh/80WpD/ey7/tuB5rXiraRXFcOqwZJF4IdTRk8WgetX4P+b9bSzUqI
Fzn0Y7zoIbLJbg3JBiiJ0PbenWC5vh8FB8C+m3C7fyx0kN87lzIdkwwFe+VYA/yMCVWMKcfsbTa9
ZRcjThHQObJyCE3fFwe0wvFJi7ziS0r6x9aPZ11DRCKnUCtwD8IMoL9lj7QRJawrhmn2l8nG0rfi
b98PaPuTjd3G1t6WyZsza9amrLw3Di+L4zguQ7fh3xotI7NjItVrAe18TuKmP3uqKYlTFJMgTuMN
tjNGai75vAYBGN22hJOJFE4TjBAhp+oyFQeelfTx0Vx91j1llFvr+NR0WnFrKdgQsh5/7zXVa+6u
9h49HRH0yWTt+3pAuwFpiLGHm6HHHovbXIx90PoWVI7J2JA4MCPOrJmAeOZr0mv1gZkhl8VUmCy2
rTbsajBrwtG+NHkUH5y1GAO6U2+fdN2bCxVt3xiMGNySwcl27mLCF3m+7uu67E9IHLKtoSXZNb8z
gvnaqU/5PKGIy8SWw5aWyZ3lne9H4Ip9cIH9mJBIPZc57byFrG1EHF+tHb+mZ34qqtygbcjiDZ53
8BYzvJbaLeSGpRu78drM9nrhtHexbAGaxvNw56Z09KvUWz1AVEb6SW0Uu1X4S9gjJUQZuzThorvj
pi/7NoyWKj/oUNoDTEz/iar797Gp3HJ//dhUyNFfPTV50fen5vtkUvltfhkI8m5DRjDNLIntwY99
BzmDzCsthvf/mWd+f2q6vykzH6I7rEIkGjHq/Ae6bcaMPz812ULwWEdVon4L3vDPfQd6bvwTmlgv
Zpk8tmYxEDAjq03VkI+nr+XOax2kUfXRlhp+Cf+xrNEXi3GBbOg7D5lnXZv1cAS6H7aTR8ad65YI
fVNqjI9F7eOZNsRdrFVsqec0xvdQZNoXgyaYh5iuAOLuO0zcfueKK8J4r1jjpaKOC8Ufr0fnflZE
cm+SF9/GUL0oWHmywo8EXy7BmNfgzM3aHjdCEc5FNx8dkOdJ6p1g+m0lKPRuJQxDsdHjDK1oZtz6
nvZoTD30dECGmwig+tR0OREk1ZtUrPUE6Hqk6OuG4rDbxnIZoFC2RbZs7XdWO9D2VtHbBwF/yQfq
HgvUa02d6Lscizs9hQYOfl5qLWAUdNZH92ICjB8Bx6+jKkYTl1EWTHndmM7d1DwlCjZvuWi5C/Mu
pzsb7PIxTzHwdgDq6Q530wixXo/msGzqN0Po2wmkvT82JFmY5VUTl0e9lI858Hutnt5EZ0sqMukG
hmkSfpAy59C0fKBzyQ9trzWBmTiBJnHURAY6PhsGBVTXRvIoIXhhGhAHJ/UcDCozqs5wipUcCKGX
52tQLaii6aS/JpLqEW3mfogysekRJleecaREOIxjd4kKanWTLTiO9a5lLenQYeEcKhjQ2UV5pHgL
+t6+Hhaw1mYNtzGppp2Fxi+HTEsTo22scdlm1fI5dsgS5D1VeAokqYWg5IQ5VGJqn0UXZ0E3DSZ6
WshIzJ8hc3vXzP1R5Yt+3JH16VwVs3losqq7T3q4ZHTQzJNoBfEd+Nl27cZDMi1r0DuFFSqRtVeW
+h6fz7BDsejcjFD0XM06UuA+Cts+iNF4nKeBXIukF9uhN3RAHEZ2RbVAOY6VPExsvEhE0aA1XDIr
wL4U7SWitZtmMY271KjdQ5pPe98ibXKOT2XeR6R3GZ/RStlMLmV6QbgwY9qydtIrd+OAwJmDsgjs
ufoiUT0bU/qpjkkGIw0gjBO+zwy+5wW1CLDecv/DQ+329z3FjxxC9Qz4Y3uhRFQWTxsswii13hGK
f35GNOZCEJjm65ei/Jhb31B2/n8pRr/4EagxWJZiXtGxq/w0/pBNvPRZ6liXvP8y5reyeaj837My
/z2jlLDgr8+oW6hZn/v/HY6pV/33kMIjhD+IVTXyGlzcfy7tYUpR2CPI4UxSm7X/rM8wFlFlg59i
zWTCx1EipO+HFJs1H0GCbxvIvhFD/SNzEXqJP12ADMfwrBpAPbn4kI5zkfz5AoSrVVXIrQnCLeYh
P/Awg5HHJOI6w+NmKft3sj5F3ENGOxR7xhtPsOX6TYkbzsYn56vZSopzDlFsEpp1d+dMNTefYCwb
Bw5eO5OpyDoysdWea2x4EdMaL77oyp9XK6cegw5c6voKC6x34F3K9VuhfNZS5Wfivnim5gf5bGrQ
oebhea2ZVr07A7EIpsor2CrXIBKR86p8hDyTry3h4YrCYlhpo8QpJF5TzIfzanzzlBuxVr7Ezlju
S+VUzBe4u1J76lZucJCV2wxtAZ4C/6ZypDxrxBY4yvm4KA/kghkSbRX/YdS/2conOWGY7CYdbybP
+8xIVXYwK6ZS+StXjJYi/2TL26QHegZxJLXn7kD8YbKNXCIJ53efpv3u2awS8E7bxpTzsXt3derv
Ds906coDT2+clKrK5Jnfhhz05NaoGlQokxGzWepSwwOcpmpV05g6DhFVwUpVywIj5mhfi+5uUpUu
xxr5Rar6NWAGEOdDRZyo2rhUVXLZOp9qVTdDU5xDS9XS5NXAL1b19aIq7UjV3Ngu5R3XpoXlgYo8
ozRPVI3O9r6ESWql15Gq4Gd/7E8Jsur9our7yioQU7aq6tcIlNrr+fhmqI6gTdoxaFWXoNMuTANf
Hx49kHyql9AhaWxS1V/gMn31VccxgmcJK9WFdLQjJPCQIGFnxa1nxnkI2JGuRZNp6MNF31uqp8mn
3t57Sftaqn7HVp1Pq3ogV3VDfHLrJlMdkod2AugeXVMk0K31qpOqVE9lvrdXuuq0StVzNRJhbQ0i
e9Ortm7wtO48qy4tnunX/ARtrwqa2jeDU4R8edYm6u03tqkWvqYEk4Rl7vv3NlCojjDzm2TTEbP5
RZQc4RjysNeoHjIu6SbbxppYTKoWM1PdZlaN9J2qA+0yQxxm4peGMHlvURfVrfr0m9lbQTl58HTd
uKt1Ck4GDD2RDCv5S2aTBp1YHgpNZ54oCsBY2Gx3ddE+AlGPA7Ey7K4BPIR9shCk2D9rcftUkFhE
D+3PYVLCV5hKjNKZoG93ZfbIBP02a/v0hfEW/MskTq7k6GHiagboZiytqwEcPczHADNie/RH5zUp
ppdRRLs59sC++9rbnA2Auqv0GTz0qbCKT2ossDd7zQmKslMPEf+aj+I4kvRQc59qI9fFUHoPaAxu
Wz05sfB1N1VX3yB/+2o4/hMRQSz5uuV2WDvviOXpUK/9fb/6H9vEiVCvsAFgoB5iQ0tpkVO5Jx8p
CyiLLHie1XmO+6Dzkg8xJd/GjSk9x8Jsz7ZYPy9ZpqYXDC5rpsJudPHM+VojrXQrWZ1xpzCBrbjY
NlQWOFcqP/2SefjJnXzIDrE5pbiL2QoutNMnB5XwxnLqniVh+cXvQfCVYqxCx2xv61m7J+5o3mek
ZpziauRWrgFu5XL2+JU04sI13EDNwjMpquf4roRlsgGxod29N+KriCIA8fzQQbFBsij19wK43Yci
7pqtZ5DfxBNm3PeZgznPXvx9Y+kyXLPEU26mgieMK/dKEhFGfWqC5SB+218zZ+N09hvhaes2t9aj
HLIL0IFzaWZXiCXLEC+5sTeRL4WmaKIdwCACWxhW7YuIBYclahb4zmIrEN0mTdjbR2lq7A1T0f0z
ftuk5K41ZlyoRYWH1Ulg8MiGp5RQDJC54i+1u8lWxWW8GTPd2WsZ45aspIBtQSEhm2CYwmPqP8TG
f0sdtZv761Ln+rX7+vrtf0sd9aofSx0gObYN01VJ7finH6aYhkWB4VO7qDqIeua7UgjwDtYVYDm+
TreMPuGPUsf5jW2a6VI9mQQBIDX6R/34u4/jj1qbUodyysHioWodA/75T6WOqRmYF9s8v+jCGrqT
P6QNJ/JUWtoTYGiX9s8hkiIY26yFzJVvRwDe8PQOy/EoomxfVTWrbDyjg/eIDbNRqW8Puml1Z7GQ
QfspijEMOQPiD4nTJCD8+EK/lG1tpoaHxrDBeaLeq3N5WbRiwmBgfI4o9AKmZudGrLeVszANi7pH
IupY+GEMHb3lcRXzN6dxPzQmQYQpIK5DvBDeNXoch71/N8TZ21R3RlhmJbs8XThhQx33MYrLWw4Z
EiaEBD686Bevju7mEoKXI1mgx2yMEOR5h8lh6Fnm8yFyjGerARE812x9poyGv67bKaRRyg6NWYKy
7lyPJIXICcs2+TTm7bCt7Cbfx6Q2bdYGlL+poP7jO99/Vqh/WkI8a+17AgCRPqDKVSxAkggVDUhU
AIvO4ox4K/7gDgQJOCpSoFbhAogH7Uvq0bjGOtEDUuKUVmEEiYolqFRAgdPCwexUaEHynl/ANgXh
AJkGkU+4QaViDlDGUAJNRB/QB5OCkKlAhEhFI3hNh1Wr9CWZnr1etenJcjVHP/o5VvCdMecIudxc
/6K3prUdR23jthlRaIBbEBsQ9ExXnSAl2VjxuhN2eWchqZiDRdZorLr8tajHJ3Itr2oh4m3pzvti
yMnns+3rzteuezjam6RMt3ZTfFiS6tQY3bOh5VfZDA6lNcoHdp1zOCTeV6tpb43YveEkIf0zGdz8
1uasMkIkWSbyIDvJ1mt2AxW5m3OYN+gvTWuKsKEnx7GMILRH2AQXx/DCco2/rgs66YhnL+44LM21
Cumw/SrBn21/xSrebQDb5AED+n5rJks4Ao9xS/kxXoZliwTUxtg6ZYGUyGOocm/I3Sq3nrDrA7K7
lJDGOFxS/kv0R5sEb6SL4ynIBWFShU3at7da057F4rQVi7hxbQBUeWeTU9WA9BZiODvpwjrdxmue
Fr3G7Nx4cRadBGlZ389K3upLcqKiqnc3LQ97P/UQmgmQbb3rvpZR/K2oycDh7gqGTMJSxokw2sym
5IR7ndV7MPayDGtdYZ/q2d95XPpk0sbbSnQDuj17wHuh4eCegba6dX6q+qF+eH9s/nt+KGHmX58f
95+r/7sa0/7/Ll/gi/1CUKJe/v0geZd+GwhDfEMgAbFQcf9wkJhMbgFrMKVVTfMfB4mCsfGa/6ZT
/KD9JrnCB6ABPAqZClu2f7QO431+GNmoYwSZC/+Dh0vo+IR+sjd0xDv3THPiS0w6DdSalP3KDx/N
L4ZClqPe44+jClIsngaPN8KAROQff9Sfu/JSr4XfFHK5iXP3WCUjQauGkXU7t1yuF5PCGD0ayLJV
TiCmtIYLWgfYfG8MTUr4zuA7127n+v2xiqP2euw0D8jTOxBNDaSX0HoHpQmey2vYcxvWzSyaQw6A
Iew0S+wXhVdjfWMgTnX0PYrSNuwVhs10GjqiybnNFJ5Nrfi3o0K2pVrMXRt3dabtq3eqG4zo5K0E
brQz9TSiqvbopkK/kJaBQqPg/4V6Y5GZkFilMO8HeCJZ0LRLezdQPnYpZv8VnSMiieST2ejEjibd
RhQaSRY+Pe7U7ifXuZpHR9+4g3YzJtOjnZsPrd/fd/l6FVfTo2OzYfccBHF5al21nRWylbpKsHLo
OG6OOpbZbbw451kvEPrBYUZJuBcpRH8BbGKt5amzxXOTZZjRC9fZiLq9dKmTHXhkXo2L+JI4QK6T
BhSFhUCD+bJOV1Nj3/YhxtXQiQafDjG2zHI3LAuR02a0nlvZnKdI2y9lThROGu9LJB1bTvYgXgkJ
ntPrcrbNMDIVcT1p9uvaHSPm0YndFvuMgNEtAINjt6o4ql4/Vv3SYW0u7+tuOCcm5a8mhfNVTnkf
yC6eA6Qku6XhUl30NCQgizLfqzDtRselaQnbRsEPklgFhHC4ex4ykTiz720LdYW5WOMBChYNYuQz
04isAS7ZcN06k0ZyYXec8gUAVyFeLWf8RvA3S9XCKc+mjztnkxCeeNdUHszUxUpJR+HURBOunfw8
0/e9J76StnxcHe1m0N2PQ6Ip6JJDUGoXRrkXjKZ+tZbe3VRVMNCZrXRRSCRBUDpzfpgLY+/NAznJ
Jh+8XbmHXkxP+ooMsrHjLSrQF6RZ17VgeJ12y8kuxO3Km056dV2SJbxabIEb7bPR66+athxra70y
I+3gu49L9FJ764kqxNvZMGY61/7YrvqGTuPLRLbWOHjD2SrzK9uQt3GU6QFxMTRfuf9cxAZKalKg
u1m/8i0gU7N1aZHGllYSJCv9nr22OxKxHryl/2jlEzrSnL1HEt9akzqLUknrN6XQv/IjuytUSZP+
2GjJA/nSH9nAE54279y4eTPc5dT62mlBRIyK3EEJ4u8Lpxg3tPlbs9aBMI7W8MGasxN/39nOxIs5
soqWZsExWpNPb5gNFYS15IdFK41nkLPup96ryXlfpIzI3oryDwuY3M2yFDqTIATKTO2TbavlWP6V
thznGqFvBqv+mduCUGhIrqO1UuYV3cTyZmwcdYfRlVPW+ANLgzbyvqw4OEj3ch613nDCqXduIrgM
IXPEiZmW33MxowSe5FicYbQSemfYHwYhOrTDMNZjYDobGNqozOR92eTzBmVys5maPt7lvvXJce4z
vvltO2rr1l366uSZhXMdsdQOlxU5cO7UXywMiRSQMuGW8/mO7AcBaYLPUVLMyvgqK/UVVkd0lw/1
l3Hxg4yxn5eRWQCM514VyqbZvPRjHq51dpiy4c3t5guEzGwXR/juzbl4Ruy/Sxz3pZYaCqAeLp4O
Uy+aMZENfUVz7cqrPrK3UqbsF9wwa41vpM8v+6alK66m54kBmW0NDQum8aUfrF3T8TXnM84b94kA
1Ed7rJ5svSYue8nul0JeVf58GFr2/tqcPcWJPKYzt+iyXE9RSQ4nBA1ROB+GYb3YvfNMNsVNzQLF
s6anee0CNpGn1F2n3WT5PCxEF/BthJWTv4DjxQ+dOXtKdoaARYv+zkuPcb8ATTMxFme2c6+vfGt9
QbUWV+5DO6WnwXSGAKwC6YnJuY1YM2lpdZum63Cos/jJhpixMUV3sNUe0JLMc5Zrs+KvLxP3yhvd
A6j9kz7Yz34zbSP4D42XX2g9DzB1ARYDrcLN9FnztC3xcoexoGqDXvRZDPmJz3qbrijbfcM/WaO8
6xvBr2nRAwjt0NnOSyRgNcsCnNN0zzpyy4p5xbKEeL5Mk1thLW+RmG2VmfYiLKUZX9NrdqT7Nmof
ympg6lHVB1BX7QG6irzSdfL2DOOKLOwXBx+G6NizAdUbSNsWOuJla74FiYGgvEMlk3vdp0okRHUI
7yIYtDFJattzT8Z3MCRk5zBh/poWWrnFHq59gmzI9YIeNJTMUjamlRbfcI+5W4PFsgNI0Lie6bTe
/r4I+WltRAni4xU2HKoQJlb/wxDQc1tHvBppN1n20ckfc/+LZf+z5df//AhVaf3g75dcxU4+8iNE
K5nVXMbmgpn87/+MP0uXVCWl/gwHwx4aJgeCxZ9/hmGMspz9NL7gv+PheFmHq2V5gKT19z+GKcVP
BRvCZ1YplmEyYkB89ecfE9cZRKp8ii8jbOmW0Ibe4D5sP47W7TzpxHd2TAV+p37820oYXAh/3Upc
17+E+fGa//YPCDkg5uHeNRBzGMoF+r1/oLUgAB1RHBl1jnhXun0fREHsQ+WGZe0PuP73nZsi6OMB
5m5AZcfL/lG8Hea4P10sqoNgFOWwJ2ceRSK7+9M12a8c9KM9OjexWa1XANJFg8GB9YS11RbY3ytq
5NFAVQCAuKCcj9waGl3Zj+GYZu/0LVFce2MqSlhLMT8jDtQywYKlNDKKCGPyw5DWrrNdMM4ZmOM+
zWOpNdtVxJYGs5XAuObYW53ebFgWOMvdmLkGCZdaHe9cu9OCcame0C4QB2SZh6FyEQr3Ewr4SUyb
LsXTMcZav4tG8ZBVxnVXseXA6ok0T3xgw95xQjNCR/99buryXLXRlT4vj5K5M2F1FK5NU1J+Hcke
Bb0UU/lQVadB7lKcFihqN6nHFmSMVvw4y/pUuv6tLhi+IFDfaGMP+hOHzgYvYMO23Dt1oH8MNaJI
x+nTsNisjOKCxG7BUVLL276u5G52JjKJRtTw0dQOgemuyzZnOYMdrQIGbzPg94QRCnuUW6K12mD2
pm+atZwLSvRgpPoJykj/tixNHWDP3RHXd0ipyAMys68yz2gC5ScbbQlau52vqA3GYEqZO7ADvKel
2rXuaOyiPApKraQOgPJ/BDTBQWvVN5lRf0BNF2DNP6cIcpKFMd1EKqruAoRn2WNJtPhdMm0HEzxi
kWPXtdAMNfHJimiWGvZlxNJxSg1LRphune886WpkqQ7XpUZSa16owCwC5Gh8nkaSfUGp+OnelGYK
pjS+XVyyoyx/CPR2OE0jPUAruqe4xiO05vZZSv1+iJcQBP9E8Bu47Sr7QId1ldrmNnfTEczpmoYR
e7VNgx6DkztKArH4t8yGXMo+87Uu9P6gkzHNhqe+sXUCyBPaosrMP7JPfSzZptRNe9GSBqKXzyLS
Knx6xiLbZUX5OKOvVju7UZjPohnrrcvwcJqL+yW36XHV6aGwb4kHv0X22cSFbiTnpgGxZvorcs15
fqpcQ53Rw9MSzY+61WPIoCFBHrqvEv+S9XagZSys7OHL4lIq9RXsq9HNCXPPddIh9XJrDuN9lCGP
qjMdXbyMKYGs+NAO7YfRWZ+B1r2QOJAGS4qB1EcAjufP0gNLjB+nVDioaEg4rJ2Eirw+Cdf/XBG/
vBFxawRGrd+DitmlnfXQ9GKvmfXtjIod6oR5z3Hjbb1EIOVZANom1nXqNloAq323pAUIS8wjGB0/
l/G6HLBEHsaps9iwen5Q4f0AvlfUu2GocEeQpyxV6mKxrN7ZF9Lbwrbfx2LtVFTFrpxdLlIDqQ5T
FlY82kyMhbzougWiDt9n3bU3hC1/BMeWnNBvFaGjL6956n/ILLaVjkl5ohds4ftVvs0T2chscKtt
FBtWwAKSOOh+IDTPJUgqKsZ7sqG4dNgAYPxDH183qQSPV9uBVSeHPF4+O8lQhQOU3hDXCIG37TWb
09d8WFCvLex3OnibgT24jArEWzdb57hOD3KtnyuX2QUMiqNrEuPYLDoVWTvtvEWbtkA8oOYZ1jFG
a7sh00JJxbJr2tMT+Qx7VllnPETw2KJzWWTHZGjvo6R9Gxa/31ZzdyXr6MLM5aHxEizCklk0pZxD
9CTPvS5l3srSOnTrUe3s6qeqHmTgzj73LCIKO8ILNxM0yN5hfvT7gYlyzZJ5qoA8Yq98XszB5HZc
COfA7IB4tWbvbxC5KJMnY36dO8nC1UbHV0nrnDjl8yL5RHUf2BztMJGH9eO7LY+16aNhAUeJB6rY
3IXlZkK06+uvvmG9rJ14m3QuBvKPH5qOL4yUJnNrFwMY/Lhqd23p3k4Z8icz0pmIzhpOvukGcOMH
/lQ4r8llxQa5sy0VWDVpxmYt3CsXt9k28cSRtBRokpG3HK2ZoVQTfUpcUu66In0tZ8wOkQWrWYcO
cujz6SMdxBoAyFo38+95LO/Fwb9VkkHZ8HdVEtjjX+zreNF/yyTlOvAAn6ldGHhj/ul7mWTov6Gr
JRzYwGDwO0fjuzRJ50WQr9lWYN1X8qPvyqR3PwI6J7S1cHff9Uz/QD6r4AE/VNQUSZba1Dk+CgXe
6/f83h+ag7ZurYE7LLltx4ymj84Xbb/tXnTkI+wX4nfhP4wK5QIYG7TZxMkqe4CEpd7tmOdhG5jf
LQSz1x8QbZjRZwaWmQix3BXambIRwIYOfpY0i1XTmMHkVYrworUSoO76aCw4/1Z7RbRQ9H6kpOqV
a8bBJB3uX9ZIPsjTTo4u4hHmlcmBZTO0mCKzNR7Ubmcf2rjjEKvKnqVbOxfdJUYAg+AcjY8bxuDo
0al4zlasw6i92ugNf++v/r30GeD/zaV/6T4Tgv2La//HFQMlvar2OVzwrb4vpL9f+yRg64r/ZaOK
s23ck3+sGEyyscFNeDagcGyrPyZgm7/hzlEOHd6WZG324v/g4mdL/NPVD7vF5P1J9OJ5bOreT0uG
FslZOkOHYWNIMIC5FjnwgNGPztrSinPl9oiSNCHHFytLTmkkn71YX4PGzb6aEymZ2mzP7oHuoZzC
1hTZUTQtjoUszeKApqJ+jLuJRFGA532M3VwiqkYiiuqrMbvPFpGpr0QmRUAEKluZs0EbVMjSq2jJ
dgk9SIsFtjew0HXWtGs7jG0n6k1/45NG3b/nUudpQ0Z1puKqF+weGmGG6MQ5b+00mhCB+98iT6ds
U1WdZmIxhLbMNkWiEkvIxS5G/dKQk93b4npd5zvdXK8ScrThY11ZdcEAPzkurBUC2+mYkuqEb9f9
NG6N3kquGsvZi0a7zaY2+9BE3hlpYoablBjv2O/1q6qvCYHW5jyUDoPADqPN1m3HyzL0Fy1fcI/E
aOKkBXSyrpE70WGR+OAMKIFTU3ZvuTncp4W4J2K6tIOpGKpbrc3Xa9OigiLGI26c5FNNrKTLSB3p
ZAn3k/m7WYN36JFUG42LtqXG6uePW1+a5b3m2POu8bD+uy0o364r95RqmHGhu7ONXTbR6jpbQ6+S
yxTPERGh2bhhDcVaQas/OAyqfAe6q5BMSf2x2jSGHqSpds1Qbjc5OivWsbE+9sR5uYR58NAqvJ0o
WHYWRAGRD96xvnebZwSNSKp0zceyVRmIn3oJreeHW/EXu63/GSspbBIlvYdWm+2e85MIgzzOWeQ+
bAtDJM0OvJHxmQRPL5hlTv76v0c/TyxbGHyqf3f0V8Nr9yp/8QTkdd9Pf8J0sKzAtmNCpmYkPwxJ
OP3RJaMVdhznP8bC70MS5zdf95GquzT+P5z9pv0bX6sPmZEZGDwefsF/8PhD5PzT44/Kgmkde1aU
PyT+KDjAj5PBsiEzT5LOe1OaTKSJnLK2tXCfXRQGtTs+GYPzMV/vItBQRquHBqiocYg/RoodxRzO
JOsk37ZgpZyrDMSUOecfS8Wc0hV9SoKhcgYwH9gDjg2AKhGTPEhXubP1Du6MolgZQn/RFNdKV4Qr
DORzSIcT7VbwV3MKOCWKu1M1I/PMzOSphGuN2fh5hX1dNF4XzGn7WWb5nZ+YnztH/7RM0ggY7l8P
U1YHMsmJoGqz8zhi+LHLenqSwntJWd6eK/g2oT4DoBFN9jEfixch3fVolQDMkcCSQbAe1tZ4mfry
xq+g3Djuvd/tsWaHLWsdwuvmj2OSPnupdphF/dR3WnxyiWjxewJhqomMQXKxC3mzyPTGGlf6rQ6B
RZp8q5vhwuCo3bTOfOOns7mpU+No1TtSITaJBJxu3Ku0WfjwQ/7cGqwM+RX3ZBUp3dG0RbHZb4b/
x955dMmNnFn0F0EHJhAAtul9VmV5bnCqyCK89/j1c4OtHjWpljQ9a+1m+ohMZiYy4jPv3Wdjgkti
E3K18BeF3TQIjLx86Q+IXH3tJLNi2BWt06P369ZDwfmMR17qiJ0EcSkcpilogvRbDVd51ZoNOpJa
39ZyDtGhdneT6+30mM5U9/t8G+YQ4iNCFNKc10sBm9sBbCGn/tDnKSJmGySpO68KiNCj9D2SJJ0T
7OprWnqXrBQrGaNfLqb4NASkIbEEcGzUy62AN5/qdq/uRVawMOSXUs1w04SNbOo0DUdrm8EwIV5o
ipButtl857XOO7kE+0A5W7oGvDsOIZWqcT84slk6BizZyoLPE1dLwbWUG4zLQr45rbSebCyFVUb6
IZ5e91Rpxj51i3MZj1/6bHwOm+ajrMgHNIbJX81S0imjuma7y0yC+CD2GG2x6qEpdBGF8Yz8bRmF
2b3fCGuZ9OOOSrjYsHfIcTSisE8KJOIRMlfH/c73cSzK8ipYCCZS39pGCvieUUrZk1kxpRbbtPxL
arCSNIZzMTOUJB7j4DftSQedZWYdbnZWKW7vfsTEQXphsMUQly6k2zwOTfRQdtoTxOa9nheHjsDh
Qsp9ArVH0/MveZOyWYCBwermJCyEyV1x7nqcVGDf7yldtqMfnUQnV/k87EqvYGVPzzkJCuvwwB2N
43eyjiXx5kOj3+mhSDfcZYwb2tfBYVzRiJmJSnstuzRjleMcas+82VF5TKJ+JxK2l+S4d/u4J2Vd
r89B6cDz78n6mOD3BeZDUzQvdMNHyp5zF4pVGEy3XE/1RcKPPknDDdzJFxQaWzsodpmM3P1k51vZ
D4pw07LM8qIlOa7Iw4I9A+b7TOtZ2uvVMuxYzHn6qz4St+zqabryzO42hDYLJJxTs4MMHfjkK03G
zulo06GUkJ7HXNbNz+wzv8yutx00RGIeE5qof8vxWVErfZ+bgHAxBGJz479GzL+Z6s5ant3MiDEE
yZOpCcjA5uwbLeugCZYVtUyPXtCdBLIKOIHtQjO8YxiGV9GnRz+Y2LAWwZkALiDsXv7RRyi5tTq9
aLq3rQrvUucIN9xhpPTRjXVkG8+R0Z1GQ7xYiYarLn6Y1VdoufZHCXOpaII1/qujEWgvo95fLcO4
6CzB2ZUW63oa3k2NCWhUBpC3KoZvRIDBVLc3eRdE28qFuoDBY/KYfLdRvUuKeJvk5bBqpPEMguZQ
IWhG4UHNqt33kTSWpnh0go5M8fmDNevDjMbrlNtVudcD/1Zm+VlT/ki/Stditr8YpdySyboQ1mDv
4lYKSEujucMjwm85+EwYDtEFFvpxYn1rAJncGEZpb/TI2joVbCIeinJpQqVYyEDfNVn32gzRQ8WU
f+qCR79udrnGVHtUpBZwE7znR6hlL20V9vtR3CVqta73SzOWmJOzkQVwcR3a4DHS52blyn6nEX/e
zi4WEXk/p8auDjw+GuOqVXWORGG67zvzAYyju9bRNa7cWmkZDVBcljw3Kff9GmWdma67oYqe7Sxq
OfylczRzFC+Zm/absAK0USHiJ6eOXyfricihTq95S+j+dsyKtk6Qe3cuag8yTvp8PWtRtTB7tsJB
34+Lvss+eoTjQubxhhuGGBkAQEQuKmUesVtg4PxQIxg4RZtR9F5/iNMxW1Ta9D2vG+KABLixidB5
K65ZnEU4QO00felRIzGslzUlrJtvjLBxtEUWS7AoWXBC2Fte88poX2PDaTHXz7WGfHaw75sBCFvq
zkgWh1S4Ed58CvtymNMVbcOJBKIDJJ070002YozXjjk/QxC8BVV97Cp2eI6VL80UCFZuVK/+APSG
CIJ1bTTA/pJx2wkfy3nbfvQE3BmJ+yZ869wPxOFgNMq6ftP6CNyt5rHU9QmoXPjOyfqsW/WO/Kar
bo+ffmwds5mPyQtx3EcM/BoNZuhsH50oO/tRajEcy1BcEMNQkiHRcUUzdSDCo/avMTuONClugGJw
FGTzvgzkyR6jnVHPC2Lu9plHtHqhJwj3McnK2Lr3huyhpZlDQDGtsjx/JDktZyuRHJk373VdO4Nk
XVIKbc2x2re+R/YmochOdQzK9gXO0jHNjUNtcdNa7iZxy6/MxNdxEtyPPpXCRKTH7IfrmkG4XbWf
WeidtJysXh66ceyOnZd+BQtJr0c2cKFHt9pEwmZGS0+w2rIyuQtH/aFJEHq1uaYtJ+WhoF+a8en6
fbDylB+282h9YmOXdeYrlOZlGhvjxoYDaCEyprSoFlGeVpzuySsEJTTENnwyRNJewkgHV8NeK+Nn
4AFby53v9N4MUT8Zj9OAgjkuXwpWgAzNwQxpffTNr4t+OcZDhyLXugy2fvEDC3hfK9cQgdfCd7Dv
RHt6Jm8TBP6xT+bPcrIvbcnCnvO9PUmThyUoBpulEsstum1j7U/SvRZGASKGVULKFChs9ftUaKe0
xS6rBdamachy8u3QWNRESe/CSb7ZA4FJHicN8Rcje2yX1BpISiPZrKUm35AI+psyql51kkggL3Sb
pOlTsip4165v7Dx19FSKcld44S6oYSWh3z6XaIGTQJuvmlkfCfDGLCQbIEh1xpB4BPkwVflK8P9N
wGONvnoIorHc4vTasy5AUtR2pxmLCcor8Toa/NBilMCreoSqVE3iYiTRJRmSpYhFuHfCuTkBO1Re
WuuFSLDgMNT+vdekb0RViZ36uUvM68RXcZsndW+9uWH7ALbxnhVidPIsMiSNch+U+qMZUNEUtk5W
TscOo1jpqLKqQN92jgATZ2ffUckj8bBQJlruI2KeQ8RwP2ET2JMWiGWufQXxcPNGwIF56VxiIwC5
GG9Idpxgd8bPVeq9idG6ER1RHG0rzoH0SRzCrXibM2/PMEEj1Dpi/dLzF2uVsSmMCBNfLvpdnKa4
w37IGoMfEsfRiE3aiBqF5dr9TQeZWFJbm7/pI//Q8f1f2mzAA540iTI26KVwjP/cQJmRrqMYzaNr
XGIPz8/NPC488fDvX+RPtBW8iDQE9mWybn7dYyf+WFta00RXfdpr+VmHaqKJx3Z4/Pcv8/Ms7IeE
g8h7htSCoTC7LvXP+MMk2GdGRhegU7ib34fiSbP+Q3rKn/z9zLmxRuOQ5uP69bNqyA4uCpml13zg
Qdu5/vtf/vczZDT5hPigVCjgz/9+2G7sZu0qu7r0Hfad/Xf39f81XERJXH76fH75roVMDDb3fD4i
22rZMjE2tbMSrNo/03j179+K0h3/rEvGv8PQBuexzRTH++WrSF1WhWQ2J1c93sEMaPVFyQ5VYPRd
auV/UEGrf/avr/XHr0VNkv7wtetGlCHxTdNrCRWa3E76rnalRFD95q+/qT++0C9vKndijwSY316I
hThjqDHccI+oq7j8D8/aP42/WJ6w0tBBG0KvN02lI/rDm7Ls3Cy4ePNrY2389L0fyTP9+u/fzp89
zn94iV8ft5kk4CLAE3LN3ffYfxPa/+NxVjgTlkCgVXB7/fwW4iq1W6GZ+TXmBGR3m07x8t+/gz/5
kBDH6FL5vpSeCiPZHz+kXMup76VRXGfnfXAunRJ7tP/h7PqzJ5mHmDWWIK4ZcuXPr+GFGdhxd86u
hIMRU6jEFvZ9D+UPlYz1H57kP3ktCJSmaRoqXJ7508+vFfoYGmDz5ddQ9dTrSOUkrp2KdfrWvP34
6P678lFuvn898ry8lzzFv2LM1Z/533Gn+Tfm8UqjR1CNIBPnD8tO82/k5MANxR7C5kY5EH8fd7p/
Y6FjWjTpHmPIH5bG3zVhbIlsSGgsapTnUf9rkFJLV4fMP0471p1qpsophAcSmRlD3p+fkbpqMmH3
5nwtywadPCUG3nZMTqU9PRlxtfWVHWxA1+qX3Yfe+V8iifNVHwU7Ej9FpKI9eX210u3pbM/El9mE
OcLob9GXRFcZpZvJd++Y+bMYYLWJz0DfJqN3Hiz7VGTF1g28XRebNBQ53mdobcs6UPZqOTxIu+g2
rYVQXuYAyDxymHoRnB0JIFED7bVwK3s9megMKo30QSva6yyflqXpPjuldUfhf7XxWi66Ou+JuOvT
50ROW39M4LLb3n0aBw8B5WFuo3KZbDJXg7TQWeOKz6EIYtY/Xfmet7zOZPfbWauDpdUFS+x6O5oW
fQPmjZEPMQkMQyId8GZQHjodDoBZDjk0RYiNSVgtIxCOHijHAEm6im5gwtVsux+4x0LE21ERIB09
VOztXa0EJwoRWTXhqlbQSBN6pKWnYCThSfoKLOnWern0EyaKCjrpDfKhUhjKSQEpmRzzLrxaXF1o
lbnCVhazJxe2QlkynrtIeDqWglw20C6bwH2MFf4y0qydgIdJlZIvUOYT2Akqs1HQTFPhMzU4moUC
alYKrckslBTF0d7Tw40rEZQ3zJQ7UmCdZajQnMEMpBPChr9neqkvDIXwLFm0RbQD61nhPSsfCY0N
8bM2aND6ysB8p3CgngKDzhBCQ4UKhYQbrjScpZv+ByM/Vbj8RPr5XiqEPmvsYTlobrIv4euPDqD9
XiH3qU3jbVvYabWrm6DwH9zB1Q6GDL8FWgF1G7/EYS7DaAk3bV9XwSPjWsRQrbkTWtkuOf+hD3T2
uses4vZ5cczd+tw02fdizOuFmAdct/1r2TAeQnv23JkVkAikmMveL1973CVrsPGnLh9PWaYLbPzx
/dy6PZ5WKOiDfUZ7xU9Ce24HQ1+KYd7FJp2LDMSVHd22c4l+jVDhkcdbsNZstggkT+wAC2SH7Ze5
9K+9njx5I1PwzPb3gVkhSCN6fhkbVbSu46LZRGH+7unJOQwI4EiDcA0n5pyn3q7lgl4OjvYN5MBT
oU2wVLUA77qpf7Oi8rlP3BV2KrQFrmm897W91gztDTA5TIjWPVsjuh1jksm9TMQXCHZKN/7NmZsj
rfdlNhBBRTMCefi+Y1GY55xlYqoz3yodebTGelnXdNCaGd76QO+wRk0wyB8TbS0m91hGgN37GGZr
iBEkLzW4yA7A3yS9JzBaQ6dWv5Vae4tl5yMum+9Cm0BiCbjEGvxVFsVrTZO7WaVHA64iRrYm+RCV
1iINvTOunL3TJ1dEFstO8K2b5EL2Dlj6JJu/eLJvN21Ww8HdMUoDWauxrG776tQN894row8ig4H3
GQYMqcHDfR0/tKn94dXkf4LeZWJaOc8QEfKlkfn8iIsQN27YYlbmLCRtIB23TW5O2W9Ze/+9cVVh
969v3MeugH6Uf/7zrav+3O+3LnJr1oWGw/VK5/PDrvm7zIL9I3J8YAD0Xnj7lf/zH7cutG4L6yOQ
Dv4natv5+637z7SAv7Bn/C3z7B+37m/4LepMVtGkvVGT/1IFGr1NUHqRZdfZDg+MolWKAxYXRJNz
HhcbtNEQbvz0LErGb6Ca4JMZ24hNWdhpe4B7K28w73OmAJ1lHIamfE868Ubo6BIky3mcjVPgid0c
crIlWjEtQyd4a6b0vveZGsos43yQcinUngk9ZLmcjQHh8sTgIE2ALLlZm78UVsiisHBPuZXduSF4
fK/wkPPxa6RA+JAw/BHp3YVjcS0BLC9KL34dDBBuRS6vrl0hiugSpbAkybyTxTd63Xhhj2G7nENH
okNMDAiE7qltnb3lYz6fxs9JzGfS3z9Sny3O1BdMH4MtFO+jtCmOi15e7cI5pC2qBi+0nyzsFHPR
fhkgqTYqC6M2GN8NnnsnvPoIiOYaD8klHuJNqRk++ukBz5OTaguj1l6ALZdcjyWlS3wKa+YUczlh
IUzaPdm2HK8JAuZQekRwx96X0cnu2ASyFXKLS1nd64W1yZJoPTnGlX5101njbTKgNcXAUy3IgpbB
MibVXnvhM7wks6XrIIf3jPeJYfpAh/9UasgWM1KfF8YYX6aej65KYCSO/rhqEpk9V2Ivp8Zl4+AG
mCIrp78EurvxB4AwmY3wYur6hxBCCv+3Ckhu0lVb5c8d/wy/mudlEmnjAiT71o50PhuXwG19OlY9
30Mca0Q+6266KiYXzclk3SK3OA6D/43tBzealI+ikDcNE8ES0MvJy5DPd7aDn7CsUryN4U3j/iEP
QZwYrdO6VvGj6+dfXZ1O1s/uszD5Bp3vOfA47NnbQ3/mTe1K34CBB8EWaswYLGGEbSyB0CRy/GVa
RAljxG41e9nOnpOtzjgrMVH75h2R5WbTfSKcKldCchPpTvkKshXWUpmeQhjnyypl9PvDRJ+PRrOw
mprShb5oMQNIWEgKyPM81Xgqkxu1rIs+OqbtijSDkaBLZnYH2j2t8VAh8T0ZWcIcv3mNpHOyhX2j
soqWTuQxbzDmeZvlCGFyIFgbb8p5Mi3zS5lXD27PF28TxTPZ84Vi+Zvfa0jBe/vmle6tQ0EzWFQR
hu/vHZJKFjYPPVWvu0EWnS4ph1j3BAkM8wG8VlzV/VKbp/fAmlEbNywxUj7RRavVh7bXVnoi18bk
oCJOs+iKmYNMVzNbT8kNv6UR+gJf8fyuJdN728vHYOwfk9TgxnLvEtNMlkMwi+Vg4hezIu0Zy2O+
aPEDhnO7CadeHojOIiAaHxxfO7vBXJve+V6ng2hsfNug2hOM5LByxac5NueU+T2zaXIqSZRfI/l/
LyDgT2WLQEoCN9GdqET44DiLqS7Irq+GBwAVBZUuMmLfDEiGtCT/HiXbHjqeQP77d1NJuic7JRlI
ybzdVLtVnf7ZKAG4kFl0KNCEl2jDGyUSh1v3WZb61UE9ToaypNZAUJ4zK95IA/2YEpv7qM5H6Oir
TAnRIbjlCxKbelSV+ZtQcvVCCdcJLSKWRonZU1TtvpDjrkDnXskIxBxHo0ABX2FrXYZo4uc2vDap
laERVY0EuvkhzuCSiuKuQlEfK2X9zFmJ0p4Rt7ksfojvC+edmIYDiq2DqeT5gxLq2yj22UIaS1+J
+FOSe0DX81CDknyDZP1Wo/gPlfQ/ILKRJJcO+gp7NoE/oFRGgRrHQGdpOPEtsCCDshMA8vqI65Sj
olwW+A046LZBxaLdxIkw4UhIcCbUlWuxzulehDItGOBqVroyMszK0hD9MDeg6FsUyvCQGhZLwPgh
l9Z2LrFE+AkxQgnmdQ/ThP3DPaF8FFYpF15tPvfyfmhIWHodoqMIrfscxwV82udYI4YNJ4ZUlgyJ
N8NUJo1S2TX0WH4aHPRrAycHy1R+2srcoSmbh6MMH6myfkQCbY6H5QWaSe+ZO0eZRLBArMEnP+Q2
0RjKRhIF3QvE/nih4zCp2gvqQ8QiHTtDB+Gt8qGAtI1Q89TsJOroxcCsQnhMfKLINJD312dPOVqw
BScbS7lcZkbSi0Y5X2wsMANWGMKltGUj4RUujCLwWP90Ft3EWHy6VJznIW/BkYG5s52XuMiGbY2F
EidrNU8XI9SjZdjwPTvTLOlpWhbGBMFzfh18MjSuCIeKqz5r8w7pg9j3TngB9+y6752Ypu08jhBW
S1cB62RMmxlsMts4m6W95zQ6SJ9HhwHxoqa9Wmm1sJ4Rj3BC9CC8RaPtMH5dhGiCXR7qnwRAfPpT
8MGVw24lHHcE+K0yF7cnzS5ZSfwkLaNYJWP6dYySnAYu3Jp6bFJwA8rKA/mKgxTOitHG66EK15XR
FCyv5w2mfSVHkPQH0NM/Wv1gCP+W+M5OI8PiEtWAdMvRh7GdGcsk1Z/4+LnFjfSzHONDj9FsA5/h
ns3zNnYbBrKWk2/yEWAMcfXlKmLjuTCq4TVvaTLGVCEEVjK1nzKvupuquKVPSwhykJs6Su96fif0
KOOGxe2jU4ivHK53qBnyZRryCESyuhlaveGAg/Ylaq5so7nkITs5ZzZ2uWxNHDbZ1fHqaYHZiAU/
2tN1PbY8D0OQIieYIerJZp2NKExLKZpFVJjvc4MxjjCkrROh/FQCM4rc17ouT6OTOsQVamuDyAR7
cN+4Wuh4zRu+kSO/3B26N1BGQ/hUzg1I2Cg9E9z26CbGiUisI/nhL3ZpvA4+3AV4BC+NOZ6LEaHT
EHlw+zRltbOD52zS6U+0dD9Hh1rU5zEINuVgApuKXFKVSu5oTT7BaDzP0KD0PPpIhY3tG0RFY02n
npXfbqqndp2P8pwZSFplxkGohVvdjuSqsgWaCPM06POxqy2LlA6s3XKWL/GQZXeWr8+rAFohFvHa
XMElnNnXM9EZGIKhRMsnHDoO66m53jXCLFa1Hn84AzWMO3Z3TtlYW6+G74mMtjllVY1dxxqOKUoi
DiV/m6RwLbxsiKk5/ZYfl83iXTyinD1IwHFbhMd7j2qrRCVnxXIx9578e3Drf9sxk/3Iv27HLp/9
+7c/G4Hyp35vxui4UI8yWEedbv2g4PzR72GCxyEtni4IiTvTyd+bMXizpoQPy/xaV/GPDE5/b8Y8
/j77B06NhAnVpv2FXsyyft73/JiAst3Dp02JxAv+qvn0u6i0bCCMVygB1uQwyfMRH42t9zTOJpTT
Cf6CZ+Ynd05v7iQ+pjLVlg7XA8RqMKFT1JAO03qHJvGuls7yZtTkhxcm57Tznue5erKG/HvXBZtK
kzBrPecN9XO5cBtpLjEjbXUzOxUQWZkg9d4imVn261W4JNJNoIlMniXMNMoHUtUMv0IN6aeLwrRf
k5SpwzR/UEujc0y83VB1T0nU3oEmvUSs3bcwiR4yELkFlfbF79tDMfQUYVpzNFxUIyNo7mwseM8z
7FlrUbndvnPDDUs/HwU9Z2yovXQwOz1qQNv0LmzhNrMIqe8dB3BG3iBUH7oVtcqmcgmX435c4HD4
xoV6bRJDEhhRTQ8zOIGo9wF5l81yrqjL7NiKmKMKzDS5Fq89zX7L5gTf3OA7gLz09OAUkbeqBqPB
l+yrGAowGIOSeno2wnUGxQNpNpaBk28qCyQa9jOnJYzzAB8jOoWOGSpVK+3EYpQIRZ+MYYAE1NOV
4iqoWp3okLjta8SoQUyPHAapWPkFIkz4ESfkTuukmbZ6Ou7moZfrrsEiQG7gdqQhWf5I4fRt40k4
2HUyh6KT+KNUb7xF385fZsHwXDY8OKHfPbWgN6P0s/Y5S0VawDlr9lPXHcfawRkQ57vChE4UJtAo
Dac/e3rBHhVtIai6l0nIQ1Yi9sxsak/Drp5E1tyCTDBw7RdDOeyxCm1pONHl2z4O5cjf5U1YLIPK
OlKvGAtPK539pNFjALR51vraXchK2wyeCW6ox1uNI9P1h/3sgTzWCyo2EeQrr4fu2VflNopCZ6E7
EAJNf2N19qbRwArVdfc8I4xKbfN7YSnsbozww0WJ7CdPkxO+UXLejcj9Sf91d0k+vzZ1nvHXhzv0
jM4yRdCXj+0h6xye5nh+7VsIvUb13kLOdWzziIN1ZUTlm4SyvPJhmoByQ3uU1ukj07unkD3jouy4
WHUnOSZjuy5nLrnWeasg8C3qTp7JDL3Nodjqlk9Bp41b+MRwqLovthvcSCrYOEZ+tQSDylL3+I3N
JlbqHqaMzE/EB17APG+S/FuCT7dDYAGqyt8W0aBKXIEnF65yBNPd1X3+C7xiXrt5nbtmXIJoec98
P1/aegKyqBEHAzYPZtTpUSpG0FiksEdq5zHPg6Nb6W+zG55Tb7y3THIbdaoqr8Khkum7zIMWJEHW
ImvjAfQf0xj4rR+b5L0Kip7eeOQxfnVa7GGGX1zaSN43nvXNo8Vdx9pwV/h0BlljiCUuWGcV+tCU
UhmiRm6Rt9mUcXdT4t0SBg1KGVTt/T7U1+RyDptceh+j374naXXnQ6vCH277K3hdmMinymPKbB9L
txF3s+VuyRsIoRtieXkoc+OrP1mQp5L5CQvLyZqDDwPRVpd20y7zPW3dJuYlhB1JBR02G+wgMJaS
9rMoAYJ1eERoYUoiQ9uKOWvr8Ql4Djw9O62XvqhPs+EcW9M4RJ2xD8P2ViP8W+iDtZezuIyddiwy
3mWUVKuyDXXEeJpYEXK/isOsowIVv4kS/nvlK3XAv77y79L3r5/1P89f1Z/66crH5/t3I4faOv7v
/BWLJ2g9YUmUNT/2l3+48pnLglzVTY/VuK7yrX6/8hUkg72nrpbZcFwxx/2VO/9HcNQ/5q8/7nwC
A12WcLA82cT/Mn8lLpm9hnCGa0sOwlK0yUvRTzen6Pt16gXXzKjirzip8kU0WY9Yo7k8LI1dkjN8
10J9gxVFYGzW0DrSfOl5iiTVQXsa1f5HHbAEG1OnpsLNb8JjgqkT47gdev/sZow3wtL56KzoQfbz
S8i+CZkndmyzFMuxCLNd4pQHS+1iM0f5vL18M6fmA6+1GlqjW9SYoJmsTsYidhHj+7M8t4n3hAKI
RUQSfIsb9ww0614X4zUkI7hwOBw5gO7NUNc3kPghKYj+bjSRPSMUkQvHhN2WpYSfc1JRriwtjK97
armIO8bYMUjKNqQqEy6JAnvdTaW1thJ/K2E7MPfK8MaV4rH2WtBZHtMHa90BElhUtR0tyfHbzwas
pzYPXQTo87PtfWOQuKppUtipHZy+fe30OVqWccOo0or6RTdR38i+Q0s7Tp+9Xux7wyEni3mlp4fP
gYGXTzXcqcuMFnEgRYbaoTnXIXIuagsYFPVzodkfmFyOsDRRkc4rCSqvAlrX+cm9OWFICGx5c/mE
/IhIJq2oN0OaXmrh3WSkfyTjTHSY7nFM6gC5PGd4ykzxFiOjwkJHgEqfQ8XqmDF6o3M0YvdRS1Hr
ylknf5LcyiGPj7PlP5VjfcGHcAzqBFRomn7SLn0Ze+2xtBCqh+MNXuJGl9orgLSvDE6osuyJyOuS
+KpZSanNpvruTNOD3mFBroR35ms6DbGDRBLmifiOBHztm7ydoZs3pVM0K1NEDwVeIRm7bAwDZzvH
jr2o8+KLlcs3K2umZT6N76IbeL4MLBCZCo3u2+Jk9CnTyvnFq61sRQu2JZnq0MlpV8j2W68JsFKh
9Wizowxw+AGKqe4MfSCLEqeH4t7R9WpTvNLCzgX25ipMSvIct3xIM0XewubaXojMvLWyXHtlxnQh
q711A3+RaIYhuJhd8Tw2b2m1t/jNvWUs7gsFDA4DFMZzK2A/TCEJ3bW39xM1jHKacQtzFvxrNwjg
yUYMsiTk+NfK76yuWw9xdtVyNYV+PK3bLKnmp/5HTWjTzVKtBeQFPOS+RYWF7PU5EnGxFtSUumcD
nKfKZFBIuanqTjfGqZl7W3AolKRgM1ftUKeHqBTOGqKh0nVbb0Vvx+tZ1SJpyCOdD8wEQkYSEVKm
pRZlq8D1xge3pAIm0vM6hvM3ZbEkr9FdMWzd6NTSXQKZch7xYuUMlFagPRCFOpdRENBGJT7r7ktE
ZR66ts9WACNI2+4javcakXdKLZ9G3aZU9dtMlV+U+Jg06n4R5sElpRNIhHzg0zW24N8vTUydRs/g
0TvUlsCk6g8fjRTPRWG9ZroD1ph+I1ajzYp1gjKdPNuh4uvMLFLR1l8G1bDkqnVJwvSk08vwX004
JMDmKgBqaINLRr3auraS7xOdUBk7z2UVnfHvftQNaDU9c66S3kl2hb4QVUj8NWU/0l5217pvfOhj
fHPpvfjyaMJiUGtt4jxlfT/wC7FaNTBh0oTqV6q7nhYPTzzXf9HyY5r46TkUBk1o7htVKRBEfYOx
Q9lsHMCfHv2uPSWqtsCmjYFukCH5Phlh4VEGTdoBuAwndAYK2X5qaixeeBW5r51HxkKpX0BTaute
VTYmJc4c+O/alJ1CSh9N1UDGOH3VVFU0wbZe1gNGokYgr5ggcjhB9XVAOImfBTEHRctT5DKvLMuv
0Uz/GZh69ojaYKfl5pNjdtnSJzcDC5hPinWir1wfF60c9k5WkkooO0bB3A5lC2JjYAGfpTxrWEBw
56Zg3OpDrascETQ4+RrXebNp/LbxvphZ0zrnH4XAfysiNTT41xWRggwfiveq+7PkOPVH/1AWeaBG
GTOYv7r/8b7armRHgOSLtfUvyXHMT0zH0tEK2z/lbUITAJH321/GrOSvTUJ+6AF/qopYfaMVxnsr
EIrBwP9ZC+YArxhHMdXXSesl55gJkIqqIndjNDdhfo2EPNMThhdpk6M+S/u+oodYzIF+s3xxS+ru
s9DLCnJniLmtP4aOsem569g3LbUeO0xunNzcWM0mT3kvRkYp1kkn5GphddkFkP/GD5xTE2ob6JX3
Mg6fnAnW5NguXb/6dIXLgtdlJ5PvExYPIewMAhqsve2Gzzi4luCu7qckvXSYMHG5XZiCthjUxxPm
1a1dkxocBU82fiGNd7RO6+HDi9qzTwRJW1tfrCDd9m17yH25gbFx7EUFITS8eAyLPVZlMHEvHbYD
q6jOeLNeHEEKBCYyD3aqlrBqNuJLoRlr5pqrqplXod6/eVFzF4bdORimZU/ejMDNgY3uUpuA6L3v
Db5AtcLpMOZ1h9lz34mIZPcqXuK432uNtyK8E/LNTMhEvMpKUjTL+mFqJnQyY3QNbIdqEX9mLJ/s
JtvNU3PL3PYjN8cLrN1L6FenXqpVanfI6mnXVQi3gLg6cQkJC6+e7+2tQNyckCWiq5W71snJDEmH
c9JhcjKmCnxm8m4VgvWlXIbgHhZpBy5Ra0+Bma3moIcHjMXG0W6xN+4N3X/+H/bOZDmOI9u2v3Lt
zoMWfTO4k8zIHolETxCTMBAEo/doPbqvf8vJIotSqfSMc41kJgpECsgMP77P3mvbCtseWBtXpMaq
IVkUqQxbEunN2iubc+oXIwcJcn4xyyisUvfVG0ijIvDTBuoQmZnqj6ZJK005Tp/Z4oAEbdtYBwP9
rcQ16vw222eAkA99haHoYi8LfPaM0Je1G1qBiwi/QThMBLqwpu+qRhYsgeu7vOrro3DZqHYNA4XB
GutMfGUIhxmefjGhhASCpFdkLdmdaZi73KRjm9DePhPIUNgP/Q3/SzTlmajShpCsz2soab2vZ+C6
RntPMtghDjjfp/bchFxeoSdYsK0W2fOMrxsgF3H3iE0P+rxLPVRW0Brnz9h+KXt1qPYONPNBM6O3
imUcOuNlMZ2t3ebXEP3HUJWQwsd4x2J1pqjkozbydedWKrrtbFNiVKNDWG5Md3Z1a1agy2SfhvXQ
9UR5iCMihxDxq+3PMVnrlQ66blV3eDRwW7CBUa15U/YlAIW6GmwOnGHA3JSb/ntcBy9iNh8dx33n
9VM5VOkAnsH5hlZNipy+lDqk8ZtdR84sNnBjqIs2tPz0MiTlEcfUkz3NX6WnH7PAPwLYAh6msTaJ
kyfW1ZugLJpr9pDNthxYmJhSc89VEZGHSGKsjHm3MZPBCqXNnno0xPOYLfyUm/KLVqkJdxpVLi8W
2yyfDpEGqFon+xosA31dWOTINF1S3fusGMqTPcDJmkret567t9zB4SsLdm6txoxCPLWmDaaxzF1U
mc896cMVjyluDfgjY9mtpJs+zzHCZaDZb2nUlKFLWVgg+8+abMPOhGoyRTrh/+ijFbNRnnFJLqbE
40f+jV2xyS2TddLS1g/JyIitZ/MMXYzf+xRFzxZdUpRyRx7vL2uLqZZpB4vPZknzGesgH8sWmhAv
z/pa6qh+QxQrhbNF7EhpTiybA0FTl9c2HFFmLlMJE2xeoDKX1mFMdDSX4Uno+rEffYLTWhAwJrMU
lfp0lSf6Pb3kJ0ckD9gJYIJlBJ/bbFj59miF7qRdpdgSV2LOHwGyM2CXtRcWXg1ILUlysW3HLk7W
WqUMB2ir4OyG5GD39O4Ug70Suq/tyMXTiCFY1ImurLaTNFHL59taEYo8Yypu02pI1//MIowBcDEQ
K/77LHKXDu9kHL/8hUFOfeGPScSwP6j8AWeqbn8bHH7qMwZWN5Yu7EECvh1GsH+vZOwPOqMwrCHc
4jjl/oghsgGV+sQNyHbD6PitpoNAmc5/HUSgfLgmnYWsZOAAszP64yCSmIIgIVv0c1s1Te1daYU2
JxjQbL2D/E9iM78E0rRy1q0Rmgg5vGVrQIvEXdKnDu5nvbjIqtH4ZEzawXGEdZY0s4Wj2YkTQmR5
jwgwXuRk11ci7au3Pu7Ho1mO+b1tjO3Jrjhi1v3kvUdmivnZ9qOtkbUOKK6mr15QUtCNtYFRvh3r
FRoPx4XBE7kQ9G0zOn3VrHS5Mzs3leuA7hg+PCxS6ZzAY+Y24WSyNqenDphD4uU3ZSmjB5NyvjtZ
a0Vyr2dOHnfgCo1mOeBVjgjeAoay6BTzOKP4hlInbr0aWLa0SUgjVzW/MlkOty3zETI1vTzsMxZ3
0K9dt842pZM22aPGo1NtOHLPo2rFbVqiqRZYP2eYmxewf9bBHugZX5DgQm9BSa/no9/XdAYrGJM+
tIFzGhSnCXcKyKYS1ZhLvgI5aY2COs2psCz2/112mEnVB2G12HeL0Q3e3lRsqApIVJ8V9KW5nLJn
B77HwW/8dLhbMmzPc+uIxVonvDHHc0lhg9B2/zwRvj8R2I3+9yfC/etb+1qSUfmr9hO+8scjgRuI
zoeOG4gJGOfbB/8XzdZ3kXN//Alf9WNNizCLMUvH68U/TDqxf9VsdZpEDQ82Oky633wmQEP+00OB
pIrvqVfH9YRNsqPSTr9G2LJBIBlM42UqfI5V1rZbArvZps7UGm7qWU/lHdV2jj18woJ1qsGq71zd
9xAW0nSNt6ULI+Ebd3Hsbsg9oIDNwlu7eqqd9H55dSJzueZAfx/dptt4JMtXNZMIZ7d7Fmo4mQer
2dbT0FyTS91kTDA9fUkjZoltymxT9ubRbo2v+TQ/jcw+np1fGmYhzzD3QYqWi3Ek4fRkYMoKaPmL
GqJYKXbQwZA7EdPfM89+HF3tJR+091GNYF4E2Hca2eCJqvzSlExcuU5xBZ//0FBD3JgTNsHO8HlW
Ax4oV2NdqGvPoMY/OVdPiZoHmQvdCt6O921UVEMj3SkyPsfpwa2tu6ZzoXtE74vClYgbrn5jSJ/U
tUCfXKbsY9nQu8RkmgjnYVCjqp59nWO1hmKG9VsuQL4EBDQw31YaDplZjbyySIrt1EOCbgLqCVsm
4xIoaNirYZmcRLa2sNwgnjNKL/RgrEs1XncRHGmtd7uQxpB9nrDmKzVrRxdWdgckxuTZyRo1m9Ej
jdQZQqfSrHOrRnpaMAfsTkZ9xLV1V3UTCWx1BcCif0DHTcPWYiaxgTruZRTM+ZOINS8+m91SfoTC
C0WuAKLGj29Y1pMFr2aYUso+Hf9rR2h9SoZL0lMojoaKbNJ/k1BaZ0m/4Br0NHC2BCxS24i2dBxg
CabOZU3hIxcacxbbGhfuuVzM9JE0yhMGsIkBNHjJ6XWGL1Snl9GmaUSrJeS72X8IxHiwSmdXt5Ek
7068pjWMR03SYChZd22maBG7YaS+rLTLZuVhLrp0gmunzs/S6obzBDfpgXcAaSgKyCFDF9ONmNHw
fTnWD4ynnztikCcvNwe20Ml7bVC4udizjp3J4O5YUcSpcxcoNcdAHevlvpVRuzdhttw3blNchsoT
D7kJHqY20oS7fP1Q+X3Y9y7SsOTwiFNnP7loy2D2Qf5A2OHmMMMUCaK1ZrXTuoQEvXFSiCwkLonE
pJF77Gf9dYrqdZOMT9xqKDQX+ozDp87C2A7AGk22dtC0YHzJs3GEVNNE2BN7sYOOnb/lgOn2BYCR
1dL4x3zEwjYQvdm0Pdf3sCU7s3KdoL0dLSO6Skjmn/1hvu44qdjrErvFdMAnsxza7aT7U9ibojtr
/lKtOiMHveNMy+af8+j7efS3CQ6llq3e1VjF2SN6AECHL//3v8bPr/x5Huk0TruEGwhOqkmU6fWX
88i1WQZyHJBBVwWNP88jQHE+Oz0dty9HDorYzxWiqyIhBIN5BjJGG87vwfS9/7ANBaZj6MyoJutD
k37JPx5HNFk5DpEpjUK5MsO7fhjSiPdk4cJ0UOCr3Jv3mkJhsX2+5RTCUawwWSO8rHEGnIUDhZZH
XLswFbM1kiFuSQXaahRyK4W9xez6VMHiqvXmjKX0wLXVv6oVrsuuYBnXFkJLuysV0CvuafRTiC8H
1hfcxTUB9m4dWfptoHBgow8Mps3aj/rkfZ2wM2+zsb4vzezRM9S+IUdclxoreCyTz7asZZgadVjm
GKmzuAaGVGlbQTZhhTVyN+Z0LEGbAXMly2OyeOgthLE4z4DUaGE02S91MWjzbTYO/rAtJmMsccir
RjsaLvUaj5Cqvgug70O5DLa1QeZqUAV5Jo8voB/WZlDleblq0VN1eoGAdl/hj5d69qWncY+O5AB0
nO+srP66GB7NrvJY2FDRR+8z6t5c3Xuqvs+gxy8DO7SaMCJvALog/lTDyY267tjo4jMsuawNRZFU
+obFG0eyW9rmbZPHOQw2zwlhQz7oFPjkHnpNNyG9c1w/C7t6oiOZ2MsyVVec/vNa82is8bB/xTXp
nOq6M7pdCdqsCLzj5ETPXLWQU3NrPtDOtZXC1g8Gqx7ASd0MxQcXb+RCDNELBmBez0c/7tPjwG5y
A0J8XPlGpCmUXXkh0f3A5hPjVo3NMYCgZH9jKfUKq0SJJLCb9httyRj982LOt3oHN153O+rF1Uax
rfX7mGVw1IBtWlrr0sBx0iBNMQLcOpl3AGW4ywe5xy3fhQMEqN4vL1MA73AycbzCiLJLfvPcepLM
oeypzD5Ss4STNtmNHG1Q/1nPgpuawE7V4KdaMFQtOKq0Z5Ws+FRcAOq1q5hVC/CqaRihWBlY9Cdv
vsIGrp/4lSNMyOw9QzgcWl6bNsfOxlJkLBdEFonZnQUyy2zpBFcMrV4WZ9Yvd6Wia82Ks2Vp9n0q
x89Cw4fbPbTSMNYYa25jAF11B2CvXo7gEZ/0IBvDDJRXB9ILeD7t00C+0i5/KRX1S/Pcba04YBZA
sESRwQzFCGuAhQWRUW30kiufu2DXYzZgM2dymFWdFlbgxkzf+WzVOjhFBSKLk8sImKxpRxVVeSoU
sUw3522jGGYpuLIIqFlWimupKGeJwp0p7hnZxqtAkdAIL5+Kgv8MRNrYw0ob2/LgA08benHiv1xA
HFkWtjmnJ5ahYGvgYGY20grBlugKx0bdwqcMQJtwSK60CtmmdXt4dJ86UG5jMGzI9e4yy3/pQb2V
kpqHitMdj926BwbXxvXzrOhwphpBMVNf+YDjfKMpQgPWENlO6zkFLjd27bpQtLnKt28t8HOEz29N
xaObl+HsDBDqJlB1kaAXO2jrfQLELvXzj5mZX8V69+gJopZFpt/1YO/MujgnYPByXX6ke+m+VXy8
ElCeXSqnZXum54LLACS9eEYFyIDrFSaaNbA93iTHStH3EjB8XUSGWHH5JD0dpdmEiKHFdgDdV4Hw
0wLjpFkw/ZpRO9hA/nRgf33bHErgfyMqYbDkVxOM7L5YbvsB3pASsi2wgVPNW9ZnACu74jECLJgT
dbMb59ADHOzs+kg1/cGwkqehS+8dwIToMQVt5BH5PohEg/85B2FoKJbhAtQwMtsryk6PQtEOO7CH
SZWfUjCIEzhEbCTUbHBbN6pGX2eEfewh3QoQinA8TylIxX9mk+8TBrPC392V1WzSitf2S/pXbT8W
X/1jPkFCMyw1ZQRwub/NEz/nEzQ0WltAOOge1mLcy/+eTxz+hCEk4DZL/tP7tXba+sDlG0gxEwpD
j/t7AwpIlD/dl7mEMue4HqscyL0sD/84oASTo9UBb79rjaRW6Chtx+fOeXCV3jN8k376pm9BBs4a
khCmPa7EKPFd9ghDFl/uNwFJKC1JNHVMwodSoeF2+iY3ye/aU0xhJ0rUVAzE2FfNd5XKouOZXsdv
8hVCWYuW1X8Ttvy+p07GIaG9EhoUYDaHS/ZQVpzh3PYyc13k+nyfGD6lvmaWJdu6LmBhw/zeU9+L
r8KR3pMwBg2AJv7dpxqXJFlrp17mtS24J621rhHr3Kr9GysfagwvTfZJc2pnD1OGkh9MLhF3MyNm
i+hn6RlUgS8p2FnKeO2nbrQOKpNeF71cUygvAUt55bXniuGuBF6+aWVOn0jqiWEvtcjhhtv4LyYd
yQsW6aAi0oD5dFp5fup45PEL7w6rCB0TS1+m+6L1lrfS1GiqiO25E+tZ5xA0tzJwMm4mtiXho/qD
1bOp5BfShSmdIZ9gTRrGJscZvrEzgx3sBpkQZQ+VbliUmXu0liXYB7HPfzbXbbzzkDJuu3bIXrCO
dbeB13lU2ZB+XBUwyh/Ksb4OrK7GIKrx07wRWjzom7hTxuM4qmRzSExDRhc/NbNPObD1hynAvslo
JOE4jEJPi71uid5TW7UoOzRMb9Ox9FJ7fHdHP34PWG/v4IdG8EGTCiBeAOWu0zoKJjXwULmfds+J
ZdTtpeEmxxHVr/55cn1/cnGX+fsnV5i+x391qeILfz603A+6z7XlX+wYlar4canioUUIQvGhSKx9
j2n8EPmsD1gm1XXr3/etH8ZM8wM3NAuYt257/u/eqv6qf8C2TAhVFokQrBK6EgF/EflIRyVdAqHz
TEYKl5FD2XtM6YXr5Mcy5c1LZGJYvHZYQeE1obeKebmXOApjLE5XFnVir3ki1lYP20JvXgh7G8YN
OQLyd9mAy3nVDSK4lFW/HGNLFukBzqv5gPdCcw5Gp7MKDAKtv5SRFR3z2dX7jZnTGnufeli/Tzyu
iu6NPbE7nlurbh02WJgGXFG8Y4CmY0mkkmuKjTFzpytNO/gmb/fN3B/swuQmsiwYhDaRKlBYbI+V
rdck+slUBQttQ5fqWgD33iRT0Kzbpu03Up/Tk9PP9lUULYS0siAKXmVHcxSiZoThCisJQW+amm8S
03kF8PUCb/Mtc5kePZu0cu0673VfvrtBZaAKlo39BRT12icNZjbxeBCL7mz7XJMvIzmT1WDqSKVj
Lg0gMCMcHubRj4aGMBLkY/Q2pe6w7yxhHhItSq603MSvarQYLxs5saqom52tICPtwMe6zAWJNp9d
/tQy4gT4X/nl1qELdb8buyj0+/Lky6BaO1HrnblOL4fcRmdNTQiOdpAQlmvKVRubbLZnP6NpgYoB
T+Rh7Qe4QSju9YdlXxgMg2wkdmyRgQh3JU2gEdHdzp6e7YRilnxcBnKjzq4yAiic/UTXZTte5xa+
Ej1B+AoKZwpbkF0Y52vzAsMnv6fIwroTriveM91uj2WTio/ZYOPmS5svgvrr0z9PrW9PLfvvtaDk
tetf/1MHUl/145HFXgKEISIgmj/deioj9uORZVrAtZBOWDyABiQM9nPO+lYKhL/cJz2vthNqBPvX
I8umgICJzVUMrX8tP3/DS+5YyhX167LSsRnW4AjwFuJBQVnjHx9ZpvrmddEUUK48jK42ZgHDHp+Q
YCD+NNqlTigR7pb0nBfmtGpnMDN0DzKL4SvBifpeSVXxGjxQAwQz1WgIkVtBvepgymMF2fuFxOYZ
ESg19vAZNiX0qdVIqMqyjE+d06/JySQri07cbmpeEy87A0Z997JkM+LD6TXCFrNRn5vJfmNepWcY
/6LVVZhe01Lus7rdt0Fw6micJlW2XaDios8SKnEGALLVozcO16OZSMK2drpLFvO1aDHA6/ozBidn
60WRXNcsJnYtUZc15wubDLc7Ytqi9owixt6k3drKNnmS3ZNBq9HWrXEz1BP4Ehsar19vR1cFXnhx
J3qhzPXij6SVhSFWGu7QwCq+0LxU72aTkFIaQ+/S5uiBssGvRS2nUBejhqsgO+ckrsOUh8WG/oSC
WLTnrL2pmll6+BuWv8fE6Yn2j8UjZQEan2gRwvK4TcD4rIQfHBkrccE4/TkQ5kOTyB3m3Nt0SrWN
VNXSM8ltffG/GpqqOjfF7ZSQarL94FOWGXdUTGoruoY9hkKrpB3BeljK9BNsgXAskL+44yIjpFDl
ucFnjf5V1RfsifRwy03lvEk6l+k0sqiTSD4mGa8/hrTEfKwqysDTAlCBHCYsGz0Dk12W4w4rwjGG
SJV21Kz0hruG4bxK9albzVEgoLAkzyyP7qYWoFfl18g9FrTa2MtXjSBx1c9k6caMr8NHG4TwLuxd
WclLVfkfHSPi994BaTKmZqWX9SdDpld9ll61KchhLTZ8CnBYMNmm4MHeUTLBkoagTl/vIqsiLx2A
73a8Q6Fh8Ii79FrPqk9N1oBNKFSoKm3DCcOxO/JCxwGFyiiGfWPoN6YJA8AZ1anCiRjLQyfqR6kN
u6oT3IerLeIlEaYyZWnWDQF+1pH7S5FgitWHZwqj37sBr2E27ca0plFTwCoRLhH6mf+r2bupmrFf
58Fw7+fFliR6s1z3wznS0u2sB4d4EhfDETfmEO1p1b5okk71QZV9KGa4BDwqq2QJzYXuHxfOLm9Q
0vqulkTsuBT4hr9UlE69Zplakm0GP1/qw9ckn/JwKi1PoeH4qObd5wmPzVj5WPEmeai0hiCHDIId
m/ZDYoBZXhB1Wu77VrryRTDt6FKPN85kwQbwEqAjmm9tWxTUGJ7OsYryDPuU/UUCyNxKwCuVNTxz
MXtDnM02VYcOElvjzSwzFSB3MSf1br/hcTRYa9q8oS8DRO5PPHuQCf0aC+LU4FcTZX9wBKzzrSWZ
Ix4hj/n+LmHHCX58rvksNcJYURrYLiyW4OFtfEF1KRYDJrw9xlUMAq3FjuwaGWqW98H3brSg1ayT
nCS4GQex87ldbHO45H29r+LeIAoCqrKyc3ubpuCzG315Ndr4rkNxXvf5dLRtIbet1mIY1NyT403I
z+SNVrJw35qq6lZ57yLJZPZzrrk+tSqQCwx9cY9WxZs5F36OscmGeeNUL3Vkv6IBm2HvZ7RcLrQt
BsmwtlCEV7YYzZWu03fV9uyr5nw6z5QlTmmQbfNaO9uivdUieSr96mVIR/Q0az1OmKo6g6tyXDv0
gljTkTp0RydtEXj1awox3VVbgt50KNeCX7XiRnyvm9l11IErz+ZPRWJ+XQydvyV2vuZDiWuLqtTl
aM4TdnSn3VAAc5dPKlBJwm2awNmfisQ764ATwmCqXsG6HBLUKVLIk7tu0I+g75TXrqdiME4Qb3RN
uzU5McOR2hFumfK8QAUKHAgM/BTqvSegUneV3u8se+DZzprXC1KPlC0+XXq5H/o8XJz4o9kyz/p2
FmHEzcnn5sHIN8fipvIE1hLgOWRRD5+NHtvRhxJVTvVIP+V4VfvsiH0f02FseJd0FGdZeKy5gdsF
tN50ZbePZf/qBiPQnyG/nwut2XBFLzZRwAGCgPkYSdmFcoRSVVTHTKMt1ZPLs2yChA0v7Ky8Z2/H
jQZWVdW/d0HwyAN6q4MKystElRdbeyurHon77rTUm9Yg6Q7NaN0MWEUDp/qcctCRyNWvbb0/2Q6f
OzI/EZ5noyXb2VK3MnAk9GO8YjOUrZI8PwTO7EPcEWtaeZtd56TjOrW7S57KGyaRrTD7p6HEHZmT
7balyRtQ2tMm12lKw0bRMGBDdNdgs6w9ynpCNx92cOiNnWsm/qHnB7rmYnShsTlb+V5/pE23JbAa
HMnBPBYI55u54hDkkbXV0iXeaaMBMD9w10B38NDySTvFhsluH1aT1nET6oVeHhaTBDtUMCIXVhMB
x8IEZKc3icyeNJ1SZpzSZBbSiAecM+6X0uQj4fg3JgM+nlhsjG41vYkq/ghnmhW097bY1tvk6tu6
c5+rPH5meeuGPWzOqKyf9crfW3Z7P/rmycpokjXnfK0Xyclsx9eYq5T0zPcg524m01vCnpgge/1e
2OohDm6MZ32y/mfs/i4W/G2EU61gz6/kav9z8rZ+TXHCrvUNAgFkAZRPkD/6OXlz7zepyHSo3cQX
9KvC6X1AxWQQRsAE04CY8HPytrwPkG4BQTgG61ywt7+1glVSwB/mbjVrM/Q7poc0Yf5Z3+zkKJvS
nceLXt20sb2ZCcb9oqAg7s9xJf5HyPKmSkXf/d//8kp/+Q6K0odCSxoCwBc7aMf+k+PIHb3ckp6U
l87OjqnHR+IS0Oxh743ohrEY/sHffz+Mkv+f76he0S/yh8mGLEXHlODzJU/XOQZkMHeVqeBLVXc7
tpV/HHqnhuRKAqxzt242NwBVp8gh4tZ7uJKE+zKZgXlwLTYec0PfFCAeclV+AqiteBI+7K+61cn0
5V+DSXum7+emojIeAw2mmiwGriLmgt0qzx2WidS2l3EaU1vk7kAIplvH8SyqBkFhRfMk1kzI0Ita
aWHH4J6DX5K7M4XLMr3ziYDAWaxWXjpcaU3Ebwk4XhkRDmQMC6EvreiFuo2A6K4iGLRVZdwMRMAQ
1g9CZ5ObZ/GpIoYJ0+qx1djPDuJlWCx6ipP9AHl0Y9AbnPb2zq79Y5I60ypxq5G6kraDWzyfKzpS
770eCZoHIJrrfdUk7t5tmIIoqdk3NH/1t0tt8y9k2XJEFbF91bOOvBblgmbc9QtYOKthT+NfuYg+
FBddsXg9TDkCUBDRRZRfA276iPkHeB96Jt0kDGZm+kbz7ZdCq5zN6NjnqbaP5DTDIa+v+mjcEE09
MNrd6KRtRdRwCM9XeLyupN9WYb+UOvic8dQN+scGZLJts1wvxfLoFJCXQbDl16kUNyLvwcWiYyz5
Ua+4Xkw1oKC8b+n0mnhqdwOuFZtZqsu8R2QuVq+aHm/NsgbzIcd+V0Rmd+uD6Lgq6L7edjyUi5IM
wHixE/+uk2ACDKQ4ao3arUEDTFSkN1Jo9+NAAJGt2QpO3sZPA/Zh/RcvQeIx3OzWpKUmkKUk+mjQ
LuWG1Kvc9szNqw5chjvau7Edtjq6TO+Smjb0sKqq+0XYN2XUNExQ7Gf7Ih/upjm5w917IPAc+rX/
zPV4PXlOS6MNk1aWtl8FHgTMvDv4KghrxIZtgLvkUd/1MT4Jhu/GNqB6ecHBZIhdW1a6oVmca1Z8
k6TD2XYygK8lVA8HophYyyk6dV21bx3Wb0uvqpyugWaHJntBHhS3M1t5bAfEQiw72mJqe7LbjvA2
1QdNjmEBauS8z0dQy22B5YvUALKVdsy75QG9Hftg0RO1qO6zQQ/J9/C2xuu2lr75GsjsNfP8c9UU
GQRJoNTsUedV1I3Yw6LB3/9z6H3Xmlhx/a1C3r/+z7p4bf9KcOJLfxGcGIAN1nAOErRiDfx67GEt
wsqKdx6Y+6/IdhXFs12LE8/2FKIAP9APjdz9gKpumfSi8D4x6JT+HXgBIIQ/HBIcR76yC+nYmxwE
LhSDPx4SnhEbIOqc6mL6XESRKRRHSKVJ1LXAnGLjAA1sW+A2EaVgLUda6lOJE6VkY+yzyGZmvvbY
9GSOdlm0aKMT2gIt6VVXhbK18NF6mvG5+EHNtbpT7k6t3wx4Yb43P/ULWR9lkaky73aCn8Z4uWS1
vqFNiDIc3xn1DVega1jfA8tze9glUQLExeGhJPQeLKoRbJasBVwZz6FBteYSVZhZdKdC5xjLUIug
eRANBEsKtYfEqhMmUz+Fw6A/DkYfeuS5R7PvCFnZufLvUj/ZOm/0PSbrWlFdmwBmgRwwihIQSleR
yN4CHLqbOaogs0MmJUOYHHjmRIei5slA7HFTCSDyUF2Lk+No4xXNlHiMhlKs7TZ7RIem9rjgdsoR
dsHjyiVkho+w4BRw5UObNsgoefPoevGlbnDsoHFd2ROhbqZqFewRMhRaoXhnBOFgx2GlaeS5rrmQ
53NVbJdBw+3pHB1hPpXZcBdkhKmikRTzMhp7zwIyPufpl4HUWiyWazifMCs9cOcya5+LHneQhKpJ
+fGVTHxYvBA2WOhK8KGI3FUe5dzoMgumSgbo0XQPWe/e5tGMGDF2I4JGvGns0t+OWvXWmJAfCL9B
wRk3dqPtKr2EZZ5eGEtOlgXWrbQ7KLK8ZyLZ3TSp2698aqzWOpDEjR3glxTxusvkrmmss+ckxCuD
Sls33GqQdUTI5XnXZtpNPlXdeWHBw28P6Lf03TvTNc9BXahCvmFa26XtrU1q9lYWMNFVYfcdfV86
zR/IoF3csZqkMGXIxDm2o5e5GeZtofm7uLPc0On1J7thAwQ2l/KWLJyb3g39NL6NR+PKmFR6cSJa
F3xp3RGv29DxM+zcQ9yQWyTZetXL7pJWXaPdVpVXLO/zVOR7j/RYkNdPeRQ3axawp07l8YTM62PW
B5+qHOOK037x65n1DXXIS7xlHsNzNB6DXtu2unmqiuQ6rarjlMEVrAASCrr34P1j9I3keHAj5+vi
apJJbLTsXSojj12XGJZ7013OccNkYxTpuMVfO61Gy+X72jsSd7tRzUPgl/YjA1LrfOrUvFTK4FFw
UtN1cGrNluGrd8iDWcgTy41cTEKLxMdmR97ysCNiRtsjsHNIUjHvPgY2q+uvkNIrTEX9CZ36DhVc
GenvF9gWlPMx9SVq/jNb6Od26YldEBsMQGpOtBgYqXqO942aIU01TVZqrtQk7xzqZvEAqKmzZPz0
GUM9W3ytGEtLNZ9Stf20sNBzDOTeSc2wjppm9TbyVqRXP/vs369oqThD7uUxoes3ZYXKClHKuIxW
8W4t3rShMehddjBaSne6s8a5PlhieDGqctvY+vOcemcQItugKxNosHxefLuzd/jWPgpW3myNOMP9
maQd/V51exOkxUnHvLeoMcZpousM9lKYuvm+opbhyALx0SfRyndGPwrsB0N3zF3iwORYGqPGx5dN
m0YzzxMfgxuvCu4YSPdTYacY/oZy5cHeNkG6QosEHuB4fcj/K5TQnPrcgFbfpAFT0c/wImgm2mAr
+BoHb2nt3XW9dZfzM+EcoHQyFgXTk39DFmGr03bIIyy3V+QKodEs0K/HIdslTYPClxXcLHq6APjr
fB9mguPEx8KJrxO8WGz70+Fka4bY8Aud94453U0Cr1dZJ2FcpfjQfbEP6HTjY9vGh4mu2khjuQ+5
jN0yIrj3gvMwPfA4RqMkNBjb01ZLmnszBR0Do4o4tSuBvSm+Sty95SaNDFpn7VjD4aNomnPcYREk
CXwvnemK3FeGbbzZSUQPJ6+vx6ouDrUx0hw83elztaFled5ihjlVTbCnt2B8SJZZbkdpvucBTvbO
80BSewA6lMfyn3nq2zzlMHn893nq4T15Lf9ilFJf9csoRZUShCWX1KAHGOWXUUrt7lyGKbACsA1U
3OdfdgMWdLbDzZ5AP/hHReL/9ygVfGCywlOlB7gRfjdn6Bj/YeJWtANDfS+kBGSOP+3uADfRrsLL
uAwAG7swszBVOzqZb6FBLYu5YBJMcZTYFw3yQBDHWFV4gTbGEBx7J3fXNVu4bZzND75W8fbMIIcI
I4XQ6JabTNZvsTlB9196Lhc7LN5SCy1NPnXgSe9mkv87t3UJI9gzR/LkhW5j0iHuDe0Z17kEsWsm
GGONz33UfdXBleyplgEekKlW56rLN6i3UOenWxRD97bBjMChP/qhXoAybzFQrAq6ulexZJ04B3XA
k7Dc+FOOq1tqeyOD4pjhZCa9k34xhDkRB1dAnV5kw97tIvTZesFfa5GEyiNhXCKTlpxJCv4dHtW9
R4oeQvh0u6QFAWV8VXwXhrGFNJhKLKJpWuMZbMklq5LjJMx93+KW7IX52hdWc3JjQPb/j73z6okk
S9PwX2nNfaDwZqVZadPiTVEUUDehBJLw3sev3+dguilIaqY3uciVJvui1U1VZObhmO+832uyujVA
IMNvhHZPIzM7aiV8L0sTy60gKfA49pUAU7+SDgPQaIngc46i+AozXPLHy32aq/aBUYznBM4OM810
rjnw77MyO8Ux0ZqUin+o2GTf1e53ryVYqEMw3mK9UOb6gdw4JwZMhBnMDBNNv25xkmY3YRcfYl9w
24c1SndHeuw9m+CQmgibuP1ppM46TzHmU3DCnIYpfN3UZFjaGHtZzff84yDAxCEqqgBuWHZuD+EP
apYEKWqWTRCI9mjPnG6eZLTOxqq6Ntvq1jbp0WG6NI88nK0HD0kNHeUfGWkEi0Tm0Oxt05tVcv+d
nMcpAY80boIWdgqkNy7VAA1TT2/Oc9HpkUXPp6T5o+f1TUszCIsnfeFqykMu+kS+6BilrgriQg/J
S612YYq+0lgQkBwxXZcNkYcEnYsGVCB6UbmuHUiiO+XZCB00O2Mh0LoaaGHptLI0cbd1MK6YK2GF
n7BZPXYpoG8lI11j7efTXPTFcLbBrIM0dIt2M30J1oiLHSKRoHTUXAXbMdFjI/Rh6ZHcPvPt/kyj
DafSjvNpy5mRjfInWDTqATWY2504PLPS68tcdPRMWntRYl5bTnJGzxULLi0cZi5twAjqtyzagml9
Y4k+YdbX+JaFOd5TmDhPM5h7kzpMF1mUn6hqs6zwJSfM+iAqvOM6wahKoSUZqMO5SosS3ywoO6Jr
Wfb9WRKr4yEp2rc+HU7DpMVqyp11EBbWseokpwHd0Fi0RblDYfseRdh3iKapB8ERxyklOGjoqKp0
VjlWb2PRarVF09Wk+6pbxnVTVmeqaMv6SKVmvWjVElJszErRvvVFI1dq6qWnJ7hGmmM/xX7oW2e6
19h6pBP8IPAfoCM8itYw2Ho/QSSC1iQ6cMdyXYhWsjrG4q6k7suizUzOawT7KYqnLT1olV503WHs
rYn2NMk8+ixqS3M/ondt0MPW6WUHPv6g8K81pjUJYPS7R/rerpAslqIVXtSxBIanfIN0dksgt+hC
pheqaKArdNJNpyFSmtZ6kdouXmftRUkV7NJ9b/3qRH5qx4PrETVBSomVXMR07HsrkA59eviBaObL
dX9o0t0n9pmGdq8aQukWT820i+axoAOMsn8yCoIAApUeB/T40Rvd75BZKRoVQSsSxILeDx/K3Djz
MigHsiAf6IKGkApCQkc87X4NR8ESXZSxGC8GQV/AVIuLm+Nd9mBKjWA4wHRwnKRd6Hl5CCaOa47i
e9NCECO0zmxw8wViA7u7SWBP1J68Kqo+WPaCWGEDJZtNcqXCuBgRUkxSNZjrrb4o4WTgGnMUwNEI
MW3aJwATaGjEu9qAyUH0yD1uYyeGx57dC88VOB/wMdc06k9quCAjPWNLkEOqoZkiYrrNyLRyIxqg
PRcoN5L3LXglslcv9JZJILMfCeKJFdC2MwQZpR+s7wC5J6NurKOajTLQzAzPK2ufxd1PajgtikYD
vq+cs5KQ36UK7yVm3hLVAJZsiX5Nq0oTFtoFqFoLgXjMMGP1Vpyd5TwL/GYiIVWcy5pmntk2lzcJ
B9hlWZU3QaRcGil0OhLMrhSrvg0j2uwl+wLREDA1MKBQ2EHw6FftO821+2XplAs+3x3u8Qju7eyh
ckc8A0KlJVpTG0/RWhik2BXnnHknnc7Putw/qgn8neAFPNVyKcOOpHlwRcCcbBUPmk/WZOggpJJc
im/4a0puNnjkDpgkZ0478/pax/4WixlWWTF1bePUt2RWWR5AXglIk2i8/QHTYTLB7vCPJEhLSi+H
bPSXgRT+xOnx3iCxTvOTZEkyz5I6gt+B214qBkJUHI0ttKzWAWamHMUpWAcBwRbwCXRnU1KqM6Fr
9IbkMZKjbIrVyllvgYISFHIs42EGKTl/JNaDlq/u3HbCm0gqEkrx1IQkaRiT3JNu5KJxL0okH+zm
leOe6K2/9APdwGARJOFAxluyOM3iOPPNSRnIHjzKoGhHWpZO4R//p45+xiV/z9xFUBQMWfOxF6e/
Ie7CgtMx8VQ0XMJedPZ/9uI0zFHBA3FDEqYcbxKtdBp4VMqGzF5lm4Sn/lVJU2QT+IhtkQPZQcCc
1t8BJRH1vwclddV2LMplmlomH+VdJa2ABTVRaWbnfSnT7W71jtQLvZ2Merfv0x+atANbBvJl+Ywv
IR/JccJ2iz1/dICcP7sJErc6MW2Z5a1pxWVIF3/f6JvqtIvc/CGv3WRpxbhz+7GFCohLKaah9Co0
WghSf16VSX1WhKF+K8lmvVBc7AOmtLVj8rTc9DTCxujBlvxvoDhs9IoiHaqe3y1HauSr2h6M27i1
6EurRnNSV76Fv1gKd91qpGihGKjotUamEaJV6jozmvjGoMLe9wwMutLcrVYtbgpzClH8q0uHjIcQ
C5HGb/OLjuTuGE0XcI2Xz1o0YCjFJFK67zM8c/QjhYTmoV/UWdQsFS4J0lr3nNA/RZ/UFPDJqrQ8
s3wKC8tTev/SDx2agl1TIXGGEWB1p7YjZSZGnzq+jAvUTLZFzESbd9LMgNITHJkSuT0TWMnDXdiq
BRpLFJcO/cJbs4u1FcIPI5tAFEkX3MeNw6FBpV932UiKkQHdjpNIPiIkE06upzhLN2+9O2ZSMJXT
cVy5lT+uzaC/KaVikXrBoWQBdyQKBKPOQNwl5Z2nIF5shmVEvhD8g3o4jrIew6jaifpJn2RISYPO
CxZVUlM+AyrCcouKa50z6CB2lCsNtsR+LpE748tdOzHsssbbtDIvbT9PDmoJk37kseYphGl5lqgi
oEytjey7W8kJVLDYuZOsTjqktrQmeZ+cQcqWZmXd4qAkSVU/7+KiqGe9G+CKJmV4s+du+g0qqrAM
GM2fHiQE0qis8Kqndj62Qj08qWBrUc0gq+9GNItVNGa3Y9NLR0xenJ4sfGVooro3ZPx2VykJHvMm
62mKkl1/7re4TabIg+JZquttNakqHcc4NB017E2jmtF95UDwMD7DMwUuhAn4FyPs6zvtYjBLm+TV
zFTWeZaPi0K0ohyIFhNcnYzJf/bi572YbsnnmMZlU9frcsNOzN96g2no7KSqZjypvkRK4J87sbLn
wGtzTF1hp1ZttttXCYUDiVlstwAhL9SHP9tDwkJFhyuB5aIiYBL17+zExGe834ktwoSJPVR1iBZQ
M/h8bzkErQrVqJCc4YzzolrIUpzOKwC0CP0xNopHOG/0ROa2hiTRXEzzk65rLmXcJgw7ovHJzRGj
VNk47lMuJMi66JjgY88ZIk/jQasWqlI7p7TZs32cUPILVafhYuq1dIQy1FhWYXbj4Pk8lQz5PgVo
pYc8XiRBFtHOyGI8LlrcHj3rjMCzdppmraDKWdE0yDr6xzaFeRPAoUoT9SLSiKtpE9q/CewGufSN
fcnq+wlsrOpAYYe2ufekxjTIo2+6Yq+7qLjERgyJPHf8El9lIBWpP/QcrgRj7eRncmP+VFWVnFme
4irRCaSXDg4rsIcAN93OOZGBKgsNlWbvtRdyNP5ImvzKCYujwK9+0ndehnnChx077gd2eKwb4kzr
jJMxtx9GBxPtYYiKqa22R4NFPC/MhmLKLQ0dKqJ7BwuViEOEbSxbuLhxWFJxQoPuJgTpmFhaTgaS
n5RQBoa7MVBPlaDkP2CkBQRUTGVaGfZ5pdnSsJQa4d/nC9NutsVpAW3AVsp5mWdLlTxhmUNIhbjW
KM5CKcf1aHM0GVZ7lPYGbrelZbPx0PxJGxKFkHBzX7O7HBUZzZtO1a9zFNWNpHk00PN5y71qVg1r
1zLn4LEiHsUTQpPHxvKymRUZ6QyQLFsoch2DqKvnbjngKm7i3Ux7C371uLKLyp0oVO1TP87MaUmE
nGDlHrRw4sIwu2jkBHGhmaN0J0NsLIgRI4/V19Jlo5gIDr1rbKK5picVXtrcYlsJ0pwNQ46rNTSY
IPJoCg5El1lxGsyzpMKj2HPJ0iqcH4jUgAZo16BwP3I7u6QTVOHuYQQrUupE0Gu2snr4klUvBbNK
conaqjMds/UomueeTs9EbeQJRuA5nGVP5xrtXVquxZwCqd9XkwQzGODvJo0c7iOjhKGzRV9N149i
qbvAlv02tTR3kvaJPccb5jgx1X2szzBA9ZyzPiXQKpa4uVq+ciAjgcbiE6GO0XFZCOP+LMO/DAoj
bn5ddN+EzXWYaHf50J2HOuR3xUvWbFJAgh5Cmc4+RU4vz0MbnT21Q3vsDNW5lmsPoR4gKMh9sieH
uy50Tns1vQzIEZ0mxojndi1zazC8hW2EZGV6VGu1a95WWQGdA9+1MIzW4dgW+4PqLseGEwrWg4nC
puJ+5QnHcY+WpxfEc3K5r9Muu8aXbMDFXV+Vcvgz5XbLrz+rJ3kG4keH46TJ7B9hKR0pXntoO4k8
l3tjbvp4gWcGfppZM8UxDIt7R7pFPUVFlR1nJdhqZ1UEq3jWTT2qSN09zdlvc6zGqoTIyI504gkt
Pf1MjTJbmhXCnuc/x+Iz1M9R9fmxSAcbv5bh47lo8Nf+PBdVcUORFe4TOlyHd1i/+fa8fAX6UfYI
poSl6NiHCY+wt0A//19GDq2gGZHlvxdzD9T8/lDUQaVskSzBv/gognj3hlgHAb03i6JKzlMl1/WT
Sm0ATYYm4OCDpdOpDlzqtkUWzJ2cMvTnKC7pPbd1kgdZzdbdgHfBPOc+X8ItKMQFv7aNGGNS61QW
l39JwABZ3gMICGjAECCBKuACjCNOJQEg4KlaT0M3O6uG+kESIIPhdA+6gB18og8bAURkdnDUC2hC
c8ITCayilDNjlgn4wq/NdlYLSMMaSuxPiZMBFr9ruV2MSURcETiIBB7iExMxIdx637Lq05T++iQS
yIlRdLckoV/F9RBPQ8AVzahvPBu0hTQFe6kIBMbjmooFPlkOjcBnFIAaSyA2JO6w1QLiBIF6lgk6
LvToS3hyxcSHqdur8mEiG2u9TpYaTN5KJ+pRUHtLSoweWhnpEPxpZz+Ry5sGLnDWQ84irOImgyXs
hHdaR48V4jA87ftSrc7KMbg2IBZHup3MULbDNTbMcyzb6FFDQ058AgjCmuzOUSJWC2LEZRVop5gn
no5PLGY5wINMMJuNwk4OQoX7kiF4z52sn0sGUcecR97EkHxK7V45Cn2UWqFgThcejhNFI89tSNVm
xS2xwyYRd/hDO0NGIAMv54PuIAYo7IMyT9UlHHBUiPC1y6ABtCfRZhlZfjkLBa/bbN1+bgiuN9wJ
eN2DipFG98OFDo5R/7kpN3BXU4yrJadYlghielUlJwMyuWpAsOkFv5yIeHZSKOd4cZGhrkruksLU
nXY42eA8cOoLpjqY9l2I6xmmtucdVHYvhNNuquGSTIOrpNb3HaUn6XQ0r+qwQNDj/aigxdOck6bR
qMKUF5z5VrDnMXK7IaITcYfKZmzl15Jg2sdVdyUBJ035qyjyBR9fE8R8ScW+RjVh8ijZYwJ0Th2X
n+iDcxbp+ITUQw/RH8Z/g8/LvBciAKtDai+FpY3vSoDtjcgtq0lGjrSyX9UuTl9yhau9ViIu0KLw
usEtPw6utFqJmYHIEFhrM65OwKa1VS9TAiQ4LLls9orqTjX8Y8hoQJuBIX4SBtpsRO2AWtOfD2kx
ziwVWD6lpCUUigjqJ5kEegkaEauo5wbJXLvUtUNpAFJDeiqhtSBnYk5KbzgD7J7bWP9QxT/KQqGR
W/pjOcq3DtINuYtPc5I6VKHpgDjoz00iNBGNEdjaVKtYJycrGA5wAzjUG0dE/QqNSA8Jghwlqq/h
Ua3Kn57UHHVZfREjLyFwM1pAW56NCE80BzqMIrQoOCOpk5AUgEkjlCplXT/mUkKjr+9UEiCsVVCU
P9FWc6ATZTtRheYFxwa81RohTTEkG6YX3C7gO3wfQGpbZDM1No6QN9WA2Ff7qBLaGq9qmoU/toek
e7ZTFQGO6ferUChycqHNqYsqpjyCc1Dpxb6ZQLb0gxFlbX9ZGwXhcgL56P1uhjUfpjOpUbLoMpaE
bZ7EZYAqqXfBFYlN0Ru3J07Pu3Rd/SzLnUvH1fe1frDB8YVed4iJa85PPU8pFkRIxjf4DePm2EEp
xisSqoFY2EZ4jd0GUZ9tR166QyAIrdO7PgUcafRggVfeIRv6t0HP0JlB98KwubkAnlIngWHMWmSk
S6JYvWlbafrEMAEQ7PTQd0kkjooYR/r2IjBIb1DpYbgBFbyVlco89WL+btteGsSt7I9pcwfJCv0L
tn0TLmE+1nqFNPVG6dHRwbpQHQdLAJsLnPjuTI21XcSWTf0t0mzI40RcM6anMtEckzIrbnDBEIoc
RDfJQGSIpnbZxMfAn/wxdWnkqbwIA7lexHV2RyTFNWEfxCe76YLsDBKm+ZVTClFFd5pGQFkP8xc4
kDFtA/OAFgbFvo7ZI6aRLBqDuAu9vfKH6KLjTJzWIj0mMFCaIIomdVoamG62RXMvFOoTAcPl0ogp
OXDIIEEPovvXIbjHk0+KzCv06ku8KR+MzDjHP2zdQ1ehWAxvRPsL6yKJqdekx4pmFpin4QQrUD/L
SvdlRTmo47yc6oPazCMBC8KIjQ+qsbjSVBZ+nGrXEtboyNIfuiJeOG54xWEvHxF+ThfMdg6qwDtD
Nv4d0559TaJYxPenx7UedtwAEukaGgpy/PMzAVB2NCVmqmXdB31G1m2Z0bERyMqQ2d8UNynmBg03
eO19Os9zPEnauHEP5HJYmRKTofZbdRFFNlEd9OJsVzoMPG9VokLwIgnRe5hjP5/x9638PIvg+4JO
eXNJMe5zrK0W2DPe6jLd97Awz7ma/sh0E4RNhA562mMo01DVWmyNVLX0adqnhL1YMYW5yU1ezgam
X8hFQQkGEuxG5das2lPokMEcPjt3AYld2x+4woUWyQimFK7kVD3BLNyf1oEb0lzIjwKBRul1uRxG
HOQbTVTecrQfwqmZEirDeVfTIytU8uwygWOhqH7wPTLlCVwpF3AR5WlGFMssk/EojxCaDZJ5ndhg
fp6HPUpSSN/9srui30s/JnCmWRcfN5VCB6Lh+uNxvZipun9Zm/jou3F90OCzPk1k5wqF37kX4+cG
/4xOeS7hb48Maqq19aL3pJhI4vRAonISLjHytFOru9xLRKYVyx5HZNhCkPvljqZ2sO7ga0m5+WjK
0ndJszkEEihakRM9WoL6pcbqfTuURw4n+WSwjPuqtZa4wmAM5ymHbqoRiDi2ZHOZ0bWXJHiw96U6
tRtzGkrJwnPvZJt2i5MQSond6ERpwsNcZE3kTRieqgG2TgVmBDCsbj2MaIg1CL8r9Fsm6Du+WYlj
4qiVHehOd91Tc9EhH4kyzLN0XtSaN4WZB4kvKvg6eNgC/Zb6PMv0I7uAWGAP8PKsAmSg6x5NFYoB
c6afo5BeYA97k7csXb9ULsh94TI9aCeaGcAYMEi9h7B4iRDRgByvaJSXPft0mZ70eomdu0lqoV3f
h8lQTbERuy56roBJI1+NcXDYD/F3VZeSWVexpVoydtfId+0u1dBqkUWRxc1xXpWLVO5tolMr7Pty
Ge9PM1w71MZ+S8hO3qfrMSkPRwdChleOB6qa3uD8MasBWvMWoltFlWdFbH0kVBOO4XQWpOWAD9lY
S7kvH02fks7Kegx+qPnaUJkGcXjTWOmB66JHjNKVa0d3Yd2c6XpxiEOeMvOSfkFEAyelxj22sL71
vjLvDdLE3CK7pIO5n+sOIj6ujXJ4XkMSGwIFjZ+GHYcrkt3aYxQiB7gOT2NDbjGwDxViiD1LjS7i
dDRvBsIs7NNCwhTyIjbqvJ0Nggln5NLhf+6gz3dQeka/uYM2MPfXG66g/K3XKygWNg7uNtwl8eZ8
Jo69QrMKecL4Pdg4KQjH0DdNMs3coyASl00EX3C9hIvEK3Pf2ENkBlEIVFYnm5D+2d+wivgIzfLG
NOEIEBOtOG6j76BZzy3kIkVlf0q8Gz37oPkJ3u9zQaM9IbfxbChjIb7HLS9zTwJAuZmhdNW0TNvz
pMoOLMeVqOFULBbbAqwqOEKoeTJYxGJl6K5kOXpoKRLJYmg5ViTUI26nnmQjpawrm940qfIzgtOv
oRD8VCv9hsB4yP2+Az1I5E840riIdUmakzaO0x9mOBbxUZMgD3/A3f+ZD9lV63O1ympgQ9c0f5Q4
uKd9el070rWbDke+adHcC07ayD+us+BnldmUvY51XmoGAXeeTb5o5iKEwa1FVbPDRsluCSYf8LbS
MLuouTIWcbcPPepqUPNyjin/QteR4qghGWN6B2cokuyHwseVz47N46qOv3dccac2BpFGZH8jNvgB
AOgccjRuwdhs0BoL67nb0SnL2xsCVu8B927dQj2rsvQeOAMBTlR68ybtIDVYyTmNwn2w3okeej9j
FaPsPLbzWUfaIWyB7L5THDS2GCMmAzqrXNXG2YAb4YKeeDmly3pcVxFJv+4xteFshLhBLdEt5LID
hnb2PdX4hg/iI1Fzayspv2uBh1/CeJN4I4Egop3HL8mRSwOaGn6xqsxlTe0L8wKO2Inv9I9x6GQz
F6FCRvbstClD3LFl9Vr3jG96jXesHUTfdU99bFSzPRgC8dcN6njMxW4SqdmvMh+s3jCpPZpgBp8w
hJMY36L7i8AqmlPVN2TQVLDNQqmNiaxLE3OMFrKVhxO6W8ui9jOupzlOijm/NUjG3VQ1TEAQiEbF
aC9MfGuXbkVpQfV0CCzhzcqQ1CCjG79ZsbHsUmPRcJRN9dEVF13IgnB46BGOVTiDOAJRh3bd1B6Z
xEPF7zBRc2/eleNl5uH5BOTPidsuXLm5HG3tMOigh1sq5MOqcL2ZF0ODbpvovs76GxtACxQ6v5OV
rESr4k7LDti/k4N9syhxt5T8fZlkwplkISyT5WxpDvJSkUlsqGTJ2cfafcB3014nYXHMzZXM4SrM
50AZB6Y3DERwtumcQ4VcQgNxH9x6ZmMy4RJyV8G3nMqlQpzyCM8e5Ek90tMI9hK2+95BrDq+Noui
7lq1o7Kdl1LlBz8YBrc+U2sL/ZwZGNrCJAY4/W5xv8nwQs9HDtgyrvwp9wLrHFAqMM+HIvDPtaL3
boMmn1cxU2giLI9O86oCIIF2ZHc9gm2PDjxkJb+QuY44Rn8hxxKpi0WAlbjVagbFfTzO4BhWxUFj
yS5Xh6B/conSYqLkBrK7uxgdhNkX+Fpp6k3UwRE8idO8YZ+JfWXWm9a97OHaCoVzKJNx0oGCieg8
3SjmoEaW912urbi6Vd3W44TWRtXnoE1M92dkBL5+ImPnKkFX7Zv8/w07+yU2b7aqV/Mnn+uLZl0O
39YVv7Pq9RwRP33SH3/P/m9/6PcPenHY/j7k63/+Y/WQBOksqOoyuK/fnqQGh+K7s/fpMz194N89
Il5x1WoeeDbabkHzhmSCWbd4gcDGGV3/5x9LCgcw4IcK1qugmuT1tur53Sj8/gs+D+fv/8zn30DU
Du8syNX3pPd/ZyR4zi9DgRRQtQycnz4bClrEFiJ56oEdHgrxO/ylIPv7Q2HvCStTsGcA91+mgyrv
WdAoHY3GsXg9v9WbJfPZovj9r/rLp4MM0WnrMYARoCoACU/fVBaT5e3KYCg4PR0VEsCOrgnxkbcc
BMpvKBM6XgrPU54i+9dBIP+S/QNLid2cCeJjbz0IFua/OhcME79M8UKO8usgqHs4WbBgnsd7B1fD
9pujvQdNkQyGzyYC54TFC+YKWwaTbgcHgWvblqvB3sPTx3E0jKCfXh9Wg4q3tG4Dv/CT3RyE59/O
ff9f3jr78/j+FwXDr8eks6eKXY+p8Mm+KNirNpodwYPdzUF43rC3GAR8Ki0D8EEV00G8PmwJOqNE
kImp7uqeoGw/E8w9nDPZ+HTq0KfXu31R1I78jLOB4dnNmfD8wbaYCRo0QGgTpCe+jAHHza+HAxWT
gI/odT+tl908J1nLz1vWNkMBIgfaZkDx+XQ+YDbNP8qu7gza9mUjriEGMCb9q82DIBQBMjFdyu6W
jdtXTJSNwi4Mo6D3q4ETEqzX0oxd3ReNrygTTMi8DlXz+2/PsYHWR1HMXd0F1O1PBRtEQUDvLyfj
h6ORUwE+DKoTeVexBGHds12liEyHEYBT93EBED+CmRBWey/js6Mno/I8Q7c5DlQOPiy76cA8F4rs
rb+cjIqxh1cTxwVIg3jt6ppQnreqbYaCQ0HG8ZBcmc2HgmKzLZKajKPBrs6H7U9GY09DMQGU8Pzr
3gQ1iusVCoxdLReN7QdBtDpVxHv6J3grqJJmY9EJ23VHZ4Jw0t9ud9ScPQcGMTXzS6H44faEyhEP
dkSRu1oovlSw2+wJzh4XRMyIwVKfXuKW/Qu+qO7Rw1bIKNhVfBEj2C1ngvCMAVLCxuV5DARs++sg
ALLyY51O/o4uh5dCdpuZwD2anC+G4JM9QVRMxKNybdrVPeHlgr/NIOh7WGvhMP8KJrzH1jgicXCk
LcGSEa9drRZegPBthsLZU0SdgMDieVXwVX9dFBrgEsRYMrl2dFG84J/bDAKJwEJ8Qj/uk0GQMaIC
bH0y0txJcEk4fG55UFItWLhYG/ILuvR+Uagix4tMLcvZ1brxBf/cZiZYe5psokx6vVF+GAQOEZjv
bAz601TZ2Z1h+/lgY0lrCTDx5aT4cFwqe9wxuHCpf94zdnJpvBS3W8wKEHhKaEHJM5+/6gekiRxy
HDeIo9vVQ1NI0LfcH8w9nO5x1EMy9PTaMB8ghmHjt7OtSSFF3G4QBNbClZFd8mUmfLhNUEhz7USY
sLM7w9aFNG0I1aEVQ6/lk5lAj5o6GhfqXQVeX279W+wJ3CuxGhZuNi81w4blgGBRZ1PY1SuVYDFv
txw0bIXECYHf0PPG+P64hG2N+a8MnXpXl4O2PeBmQxuHsIAVxPMgfNgTxPEh/gGQEq+dHYqtt0fm
g2PLBkLg543hI+xGfQXHiSbtruLxwv9qy0XBd+TqCNTygrq/XxR05cQFm61hVxEnETqz5SDQeoCY
oRDT+zwV3m+P7AxAk4R17upE0LY/J4k5evIloAH1/Hp/t8YOgVAiwxaJSoz37vGYXjDRbc5JOjOo
Ywy6M+++PTNAweqIKfLSvd7VMXgGPrYZA67WDIEu7JaeXu8XAzsCeUvg9M5zMbGzJ8T2FYNBaYjE
HZT1eSj4qr/iTYCwnB6QPHd1TejPH2yb+QDopmEjRQG9uWxiPpjwOpgQu1o7vuxY2wyCJdJwLM7J
l+X/oWziFoE/GoXTri4HnXW83THJfRISK7ug9hnxW6VFx0nKmtnR7VHfvkWni2NQAIufc7kQjms6
t+rXc3QnT0t9+5PC3tM14qQQwXxyUjwdp6bO0tnV+bD9hQo43sI/kfDHT7ZHWL+weuhh7eyi2L6A
htZmyrTnyabfXDPIe/yQZSNCKHnt7Ca5fR0tWF6gDAJ7fP2qv9YMzAfdYRx2lub4ctPb4rgULHCN
q4L6KgyhCnk/CCaiCYycn0+l3btMfMiK+dtaMY5LCFwmzdtPTgp6VCiIoLuKDjevnV0U2xfSFmQF
GW6r+Rmlg/aMyCHU8MXbzculcNjbrnzSUD6wBWryZyKZJzYDLSrzhXG+g4ti++1RtPAVqI2wXJ9e
H8g96OYg9ojoyX9/JvwbI/WnQHnqB/HDkzSZlJRNCubP/sCrUPPjz99obp+Ux7/8SSFVfn7zZ2Wu
+O///kW5rD5hKW9++oqtPL3Ty99/+Yof3/yXN3v9Xq//cz9Yl6vy3h+efjC8fNDTVYLC+X9i/vWw
eq8YFuD46//bILN+WzD9/ul4Rq5fH3Tw8M9/0H/BukqmAv/rq77TcP/bD09WD1n5+qA3D2cL3frh
E+GZ/fqcN8/mw2397OkqXrX8SqrXZ715PvN9++fjR1R9+JUy6uxeX/DwtC5JnM2qetNbgA9v/Raz
dfzHaVZuHH/2nq2fP4//mGUlk+f1WW/Gn/vQ1s9flCQvbXo4x9rWD1/G6zR9fc6bD/4Vy3W/Se6y
+KH++HjB+d/6ox8k+boMVvHro/769IJOv/3jsRh8fcybR3/Fij1alxvGXFAntv7UR0HqbdgIhP5w
62cfr6INe5gg537Bo6tqvWlMvmKBHmfVH/+Teut4vWlkvmKJnqwe2IBfx+HNbPmKJXqywll6w7O/
YomKZ+fZpt1dWHxs/Ws9WacP2X2wafcSzM0veH55v354fdBf4y54cNs/POOzvz7nzbO/YpmeZBvH
5CtWKY8mnmM9bPjkX7FST1f5hokuwNmtB/x03a4+1o4Gyadf8PCzcsUW8PqgN7/Or1ii5/HqflMk
imjhbD0s53GTbCruhDRk64d/Cygdq+Bhw8iISNmtn3+5ui+5EqT1hrNUME++4A3SPyZrjMo2vcFX
LNXLlXiDMl2VDxs3MkEV+JJvMQvW3qYv8RWrVnyJBSvgPqjuN73HVyxf8R6H2apoNp1W2lesYfEO
x01Q/XF2F1T5pu/xFYtZvMvJql5vev5XrGeeX6/+mKzKu9WmmkG0k75iPvEeU9xAN2zWop34Ve9Q
NuPrw/7aU/UvWdj+auOdUPQct//0YBgbh+ZLFvPvwwqfvNS2QEEus3i1qXoQ2P/2A0NhsimwXHT2
tn94vUqDKl411evD3syZL1m6v4sm23bcf5vlvvXDf5ses/XTf+cLvP3DAYiSTbicUNBtPWl+8IRm
01oV6PnWT7/N4g37vLCl2P7Rzd2Gzdf416t0Eyz7JzfuI1j7aue36a/9ikWLP3Efr1flf/8vAAAA
//8=</cx:binary>
              </cx:geoCache>
            </cx:geography>
          </cx:layoutPr>
          <cx:valueColors>
            <cx:minColor>
              <a:schemeClr val="accent2">
                <a:lumMod val="40000"/>
                <a:lumOff val="60000"/>
              </a:schemeClr>
            </cx:minColor>
            <cx:maxColor>
              <a:schemeClr val="accent2">
                <a:lumMod val="50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_xlchart.v5.7</cx:nf>
      </cx:numDim>
    </cx:data>
  </cx:chartData>
  <cx:chart>
    <cx:plotArea>
      <cx:plotAreaRegion>
        <cx:plotSurface>
          <cx:spPr>
            <a:solidFill>
              <a:schemeClr val="bg2"/>
            </a:solidFill>
          </cx:spPr>
        </cx:plotSurface>
        <cx:series layoutId="regionMap" uniqueId="{A259DD19-61E8-4244-BDEF-9961BDBD5810}">
          <cx:tx>
            <cx:txData>
              <cx:f>_xlchart.v5.7</cx:f>
              <cx:v>Amount</cx:v>
            </cx:txData>
          </cx:tx>
          <cx:dataId val="0"/>
          <cx:layoutPr>
            <cx:geography cultureLanguage="en-US" cultureRegion="IN" attribution="Powered by Bing">
              <cx:geoCache provider="{E9337A44-BEBE-4D9F-B70C-5C5E7DAFC167}">
                <cx:binary>5H1Zc9tIsu5fcfj5Qo1agKqaOD0Rg4XUSsmSvPULgpZo7FsV9l9/ErLsEUHKDUU0Hw4vu2c6bDDB
BL7KPSvrfx66fz0km7V816VJpv710P35Pqiq4l9//KEegk26Vidp+CBzlX+vTh7y9I/8+/fwYfPH
o1y3Yeb/gXVE/3gI1rLadO///T9wN3+TX+YP6yrMsw/1Rva3G1UnlfrNtb2X3q0f0zBzQlXJ8KFC
f76310n4PZdZuH6/fQ3DtTyr5Pqdnatq/P86q/r37zZZFVb9fV9s/ny/dTP8/t0f09/c4e9dAo9Q
1Y9ATPiJjrgQhDDx9OHv3yV55j9f1hDGJ4hQbjAEV3787GqdAuVb+Xriav34KDdKwUM+/feVu2w9
EXznPzPfysP4dkZUfADoz/cfs7DaPL67q9bVRr1/F6r86fXJ3s7HR/949/Su/tjG9d//M/kLeHuT
v3kB/fRV/92lbXT/BvnTOv2WJ4/VP4861U8YNxGl2JzCTU+QiYjOMSyK8bMN+ltY2g/4zh1mgL1D
c2RA23lSq0MItzjBusDERIb+9AHtMBVuXefEFNTYxnk+R/tRntDPwHhCcWQI34UqDvu8PoAooxNG
kMGxSX4ILEjsFGOTGKahm2Qb47fwtB/lnTvMwHmH5siQ/k8C1vHxEMLMTrhOQS//BJrtAo0ZpswE
KX9pqN/A0X6YpzeYgfKU5OhALsJs888LM3hjpgBhRQb9IcxTbwyJEwYfw2B0CvJcjl7DeIt+FsRb
FEeGMHjk62Yj1+ogICNhYoQZe8Uq6ycmH+02Be/spSS/ian9OO/eYgbUu0RHhvZ/0vVjLg8CNQGF
rGMO4rptlcEDZxgLoounRYC2kZ7P0H6YJ/QzMJ5QHBnAVl1Vh9DX4sRAIKf6a/oaoxPDoCZCeALw
bIb247tNPgPebYIjQ9fZJO9WOaRp/nkJpuBeGxREdUySjJ8dr4tCjEUJeF0Tt+tNTO1HefcWM5De
JToytL/W3w7hXosTRJFhIPGaVQZR5szkdBpHzeVnP8Zb1DPg3fr+kSHrJu+cXIIp/uflGDxrhoVp
4J9R8k6YDAZZCASZTnOfQX4Ta/uR3r3FDLh3iY4M8wXkg7NDAG6OeRETBBr9UNxTwMdQihvwD5rk
vuZztB/nCf0MkCcUR4bwMtlk2QEkGnwvrIO+3s1hQ8lCcMSIMTHJsznZD+w2+QxctwmODNaveXII
sYUMCGNUgEs9jZjAE2OUIShPbMdKcxnZD+oW9QxMt75/ZJCepcVGhuvkAMKKwbpiblCCfuQ8IBe9
FQ8j4wRy1KCtIVoePxOM38LZfpx37jAD6x2aI8P7Ls/y9BC+ND+hRJiC4Wdfeoo2FJUZMkxKx7zI
ywzXfI72ozyhn4HxhOLYEF5nY9eArIcDyLR5IhhFVEfmDw9rmqwGlCHzxXVdTPKYd2/i6hWkd+8x
B+1dqiND/DaEtLUKHw+QCyHkRHDdIOSHin5S0ttKnJ0QSGpjxCZtA29iaj/eu7eYAfcu0ZGhfZb1
h3DCTCg1YvCuwRH78Zlaaw4etjBNzidNQXP52Y/xFvUMeLe+f2TIXkHb10Zu+oPobZOBk03016wz
OjHBOJtkWkl+C0/7Ed65wwyUd2iODOmLjTxEeGyALn6qTDxra/Cot5W1eOr8QwRDSvulDzaXn/0I
b1HPQHfr+8eGLHSRHqKAbJ4AaNDqQY1X1LM4MeEaFJ2m0M5l6BVst8jngLtFcGToXq7jQzhZIJYQ
JTMdSsNPnz09ewIZyIRaxLbczuVnP7Zb1DOg3fr+0SGr1OYAOhnabqHERLnAP6DVd+Ji6PyAy5Sb
E8G9XM/l6DV0t+hn4btFcWwI5+rdfzJ/k2wOoZ/piW5gTPhP/TwNjBE/wZRAZwiI+fiZJLsu38bc
K4jvuckc2PeQHRn2V+tHaOw6iF8NbV1QdGDP3dZTjwvrJ9CECzkvNAmP53O0H+sJ/QyYJxRHh7AM
D6C+CRsTXgbA+1xEnso1JLwMgkB5i0lYfLWeydBr+L4knwXvS4IjRLfID7Jfgp2AdIL88mcDPZVg
qBkLkzIOee2feZGXkdMI81zOXkd66w4zwd6iOTK8b5IatuodQF8DmMRk0BLy3CGw09qln4ArJgzo
yN72tOdztB/lCf0MjCcUR4bw1SZ7zB/Cg7SBjG1dIKuMPRcepyKNCfTvMZOQsbNvS5jfwtR+nHef
awbUu0RHhvZdsD7IVlaIrmBbhEk4ea2DD58QjnQOe6W2oZ7P0X6cJ/QzQJ5QHBnCVxv5ABtv7X98
szLUl3RTmNx8bsbdccAgwObQwYkY3RdYzedrP84T+hk4TyiODecc1PY/DzP0XFOhg939WVgGcd1K
XUMgZVAMPfdosqXxai5Dr+C7RT4H3i2Co0P3IAYZch+wfe2XCO801IOPjaFrANqwp1EydKvMWWyv
YfuCeha0L75/ZMiuNs36IFtUAToTM0705wzITn4TQc0JNpvTaUfIfI72ozuhn4HvhOLYEF4Xh8hw
gexCUxeFwtKTed3NX+MTmBsBvZt80nm7msnPK+i+pJ6D7cvvHxmy13INees5evCNg2AIdGjC9gdu
vrb1GPafG7Bd0Zymq+dztB/dCf0MfCcUR4bwTbJ+2BxmMypY1RHjH1tOd6UXtDMbO3Txr7Lyy4B4
Pl/7cZ7Qz8B5QnFkON/XMPYlPcgYAUhUcywoBTf6Zxw0daAJxwhxPHGg38LTfpR37jAD5x2aI0P6
bv0gYSpIVs3yX9+otzlkPWBoBIWJAU+fnSzmGE2N/0Az0PiZFBvfxtt+zPfcYwbqe6iODvfsnbWB
KWSHwB16NA087j5/pQkItp5THesw5Wua7Vq/havXEN+5xyzEd6iODfE8Wb+IG3+Yz39mTB9gTfnY
tflTirc1OvTaU8ENfQft2Ry9gvQ2/RyUtymODeEn6ZHZWj4epmABA/hgJBvi5BnpaQyNGARhVAdP
bpLEfjNjrwC+/z5zgN9PeYQLwAk3/iF0+tO2KGbATrlJxhNAR1DZgFXxrO13sZ/N0+uwb99iJuLb
REcI9gIi7odQPeQ/3/k/oc8ZbD7XdQYbKH7FWlN9TmH+rMHJHjH/xdGcNMDrcO/eZibku4RHBvsn
MNz1QXrEYFoMB/WuvzZud8x+CwjBTX3SQvQGlvYjPr3BDKynJEeGMmxDfHeer8v6UM1i0CpGMYjx
02dqx8E/xwJ6+IX4kSzficvexNx+zPc94Qzc95EdIfaXdajeXX8LVXEIW26ApGMTqh2g58fPTuMJ
9HrD1hwYDbZHw7+RtdfR33ejmStgH+mRrYJ7aJOEOepzzOjbsjLjgG3YowMK4Hlv9E5WBkNvGUwv
gdnMP92KH2PV38DSftSnN5iB9pTkyFAe1dkVzIA/hJQ/dYwyBi2Cr2TfoCKGObSg0QnOb2JqP9K7
t5iB9S7R8aENIw+stfy2PpAHBxZ97PF+fa6UKTihINo/lsS2fMP7fxt7r2K/5zbz8N9DeJRrwE4O
swKgCw327sD+vNe60NAJxHUI2hwmfcM/sJ/N1u+Q377JbNy3yY4N9XAjDyLyMGnM1KFgxn9UUHYL
p/oJXASlAPnXZ1fvZeH0bjZfryC+TT8H7G2KY8O5WmehStb1ITYFMNiBqcPoOPO17bdQJNfH3Xts
EqDDMTNv4OoVpHfvMQftXaojQ/y+BlV+iKYX2ElPdAQR+iuF8qd0zKjMjZ1C+VyO9iM9eaIZKE8o
jgzhu3FA9yGaXmD/B8EYpu0/u2vTzDqkYcyxtLbTkjifo/0IT+hnIDyhODKE7zfB+hDD5iDUhqGB
Juy4fsUhh12ZMKIdyuCjnMNnEojN52s/zhP6GThPKP4P4Px7FrceeTzT7D8/Q549lZK3nk8H1U4Y
oG9CtPUE3k4aDTS0iWDQIAzv3hduwdEVv07We7Ua/+Nwv92z6V7Qbj3jj0f8/Us5zGlzr59E9+uQ
P2ddrd2n4wFfHEb3+6tPCxvONpyQPm+H2wPir+7es8c/30MvMDHgBIQXyI432tpM91xJ+Lkutsk2
sB/sz/catKOdmKCrBezfQgjOGwRV3W6eL4ELzgSky6B1HE5BMiFlmsHA/wAOMKQnAiw4g243QU3o
PgbxVnn9dAm29iE44u5p1BV6uvTzSW/ypPfz7Ndref7zu6xOb/Iwq9Sf7yF2K358a+QWHhA6n2GY
NLQ2w+hKAc0WcP1hfTtOuIF38P86XfMbKbN6NfSxXcra8pVhhTy1XryXPT+DdEgNTn/IgFBjTCDo
GM4WGBl58UMoqZrSjGix0mtDfIyDUjPtlCX9cAqOiiFtUmU1PVPKG+4iHPsWDMylnyPO/K9FHvFz
6ffiArG0sAomje4m6Mkt6fMmd8zeZ+qiiSNF/mq60uQ3rVc2zSJCOXUa2oSWGWvJdRslCrlhUeTY
zdukbmyu+V5khcrLvoRxL1yDD1J3VPZgJLRdMVok17TWi8RGRZz0i9zriJ00taUlKm8tFrY5udYb
ZMSXTRJdyypurbTIOjsQN1AK2xiqeMxKf+Ep/Z415WnWkqWhmfkS6/AUWhG6gnoLkbpGl555fV86
JE5DR0nkJH35PeDB7VDQFcLF95o0dwnyU7elMvrK4lw5wo/rK40VclUqwzxPQnFViDRxhwErK9M0
8p1GKjulXqCvsqos3LTxSitMNMPFLb8ilVipTLXOgHnj+OGAl1XGPvZI+5LgoHTyKDCkVVU+ZlZN
cADLwktdiBZDF+aDwC0qvECxKT9KWpHOMXkW3Cq/0dyaIemKTu++0CTs4S3ivLJUXEuHarJ3ImO4
Lc2KnwcgOKvfrzEMsjldYrB/Cg7+HI+2ILCst5dY2cvS9zsuV8pN16200N1wxyzNKu3qNDv1kBU4
vpsumSvdzDLO6YK4+NSz479Z6wZI9As+OPQkwmFWkEWByb+6TmFywjYfRifb2ldBvvKwf94nQWfH
fulZRUuxxVks3LLxyEJiU4aWx/Urn0nvHAFGZlymds/6lfD03uJ4+KvqcrFQ2EsXcALswuPDX8zw
DCvytMDyhu5zmRTMwrLsbaYi4nSthy0URKllBJ3bE7FsUWZH3mCXlHvWYIjTgSCrx3gJY7iQVVYS
FoWgdpNmp1FHnZxQaeV64batf4m9OLDiLEROU4RWmkbKASFetZ0gy9KPYksR/6Pf5qeIpFd1x3VL
48VSj2GhMVHSRa1Hd7+HeFuJwJuF/iAT9jWPW20InBg3USJiwK0oUk+u9CaNlqAIEnh4PbO1MHCN
PKQWLf31739y7B3eRnPymxM0ta5hsol9tSp98tXwpN3Vfu4Mip3StL7KS0+3fFMWFitL20hUZRk0
6y8HWQcW14zLPORf9FCVVqO0715MF0VZXuHc/KB7w4Phl3+lbVg6ZVYWF0+MP9vKm5eq/iEvehn6
wfOZvb/++O/7PIV/n056/e9fjkf+/vdPy00+lmjU9Evj7/z61n9Pix1t4K+jYyeW9ce5wT+N0Vsu
vskmj4mqX6cB79jkX6d67VrlkfCnVR6n1oyulWlS2HxrjnWMn1YZLkH1Gqwy7NSEXpVxXORPqwxd
yWM/MuzWxYhAthwu/bTKsI8ESmOQZBkPHoXxweavs5W3oAJ/5PnPL60yIds6BOwytMiMu1JMsMmw
cYFNdFnm86ZJGp5f63rinxa+twx8jVuStBc1a3q7rbG67GqcL4k+kKXo6pssooNNsvSbBKXrKE2d
Jn1guILA0cF+axIrokFp1wEdrEhrsRNUXINVaw6O1nbpTemLz4ExSLuRhNidPlxwj1xKg57yXBiO
oQXLsi8+e9zP7aHkV4PsK5flcXMKh0mf+2lUWjE1zgceppZP2ZWJ6UffKGqrCvkH0bLYyWT4odLl
GlzjzOaG/6lJjcJqw8C3s441dtwMV2bGPnderGxEyBeR5J/NrrkQMbpsWXKvGelVxdvClm3wMZMg
eRpKTzOvvWADvc2yaIF87SsOO9sHw1vpJbOVLC4Lln+BAyhXJEgjKzC6ZdMZmQWLYl0lHKxllwSW
xio3NIfAQl2SOER2ptV7Ze9yntVu0zS95UXptWw7bGU+Oc0DHFpdW6/a0SPwhxYtjbhaRGZ528VN
ZBsx6F0NDzfEMx9wVdzHdb9oOUot4mc3HTUXfZCehTitLI+pG7NmH4PS892C9l/MUIVW2BqFA+FB
bCdZmC9I2Csnw2xZyeGD7DK2QEFy3qFkEwxpafEKfzQDiWyZYM82c3EdNQyvEo+ddty/K1c0ODPr
yNJbfmH2UWSDJV+ErMlBYYZuWA2RW5GqWcqafwlM07fqMsNWkodLlGaZFaf5Q8zM3ImqPrJwiRYJ
Z06v+25f9adh30SjdfgmJdnAYJJNm+v+qV/SlW/6Z11T+lYP+tqN+oR+IkasO3rPscW80M6z8jw1
zLPEQFdGHSwk9+MFSkLp9l2Hbeyb/ZLXRc6szKgrt220D2HRPoohbqVt6GFk67JcDiVVFqvKc6qV
GCxdcSrMPLByDO5dxhl3YGL7Kdb8bJnLbh0Leh/qudOo1NUr3fZh6cI6Ep9z0hA7KKvmrqSodEPh
d27M6h4WQsBsNNTIrZIisoiR3IrGd0zsEYuEwVkmzEuvUchKYxk5iR+BXLCkdnlUoAUpc2zB7n99
oSUksfVwqC96nH0AC/5A/JZ+qLz0lkuqW51J5Fmh4FmCqm1tbahdRfPE8vXhOs9BUqK06ywSFDce
My6DVNedQo+oZUbwAjPzr6pC5yr/EFJaWFLyG85T76wz81XnJa3VVO25wPkjVUlhlX20TmlauCxW
saN1WuwUA6yP1igxLAnDd4JBW5Lejoa/sE8eG3kZRWfg9rphDr5G6cEyaFJv3Q9DY+G+vPKGGFkZ
0e66gp5mKNCsvgw+aX68iWsQGZzlsLYLY6FEeZZq4P8KgonTJMl9mXnfRZO3tt/BuiMJW1I4yN2l
3VCCkzxUVuOX2aWGO+MKZem9Fqblqmt6DdY8i1wmBs/phkaza8/LbV/quRW0zVUjY24plkVWIsK7
QMJqNqiPzmQSBS71APHOS7EV98OH3CtMC41ukUqbwS567ZZAIOTo8EtWMIDjpjVma2dx7C2avoqc
vKzoaQB4NTQ4j3u4V03KDyklF0mu7nRPv/eMMHcQbs492OzgkmHoQkvlUkbXRYfkl1gYqnVNlZmR
rerooq6baLCrhqR4EbZe5pRRqL5y4Qf08v9Hn+ClZTegQ+Fv3IFJpuQp7n2i+ukLIGhOH8ca6nDa
nQFnJ8ENf/kCFLabgBcP1RM+mnUww8++AIWtCWjc8A8evgB3YIzrf/oCGAamwQ2hF5bD2JYxeP/p
FM3wBdBo6rdDdMjxwWRUE3ZJEOi8mzi91UDyoqzrbgURpHCb1gsKKycRi+2Ytc0HUzP686hrstjV
9bj6WuW0+RhT1ZWWEln5+cXb2+OZjLN2p9xAmz4M6gVfB85tHht9Xsbx4NsWsQjqZoXLDK38eMg8
q2a5GdhdU+XCalpaf2VNoYWWTHlV2mUkIZz3wGGmNuzkzB5FVenXcI+gdnCSoI+DoXG07E3D26Be
Q93i9xzvCQth6jcccSewMJgOQ9AmHIcsAGz7akU6wwe13Q3JxwYSMmRRsT43rKbvUOSEzOPWwMw+
tPpYJ8u0kT1yZJNXj0GnFLJDrTAcVYV5Y1VpoDcWhB+x7/oQKt/EtThPlQiUA0N8xCcVlBdx0hqd
GyrNvApl0KTL3z/VLgywp1WH02fgiEbooX966BfpFNZrfqsViYLg3hOfcp8jUNwxhqVRZHV303ZS
3BUeSr78/men6SKYQQMpLEbgGF8YF4jJyNaLnzX0zqeF8rNVxge0QnFQrzIl7ZB7waff/9LUAR5/
ScBOLwZjY2H2DZ+ssyKj/VBKCKJ5odN12eYyWXoV70FpF4Grl3UCzi44ErkdEaNN/27RjIvipdDB
U+LxsAAKxxWboB0mPw/5BXBLszRcsTI21mlUG+s4GXkwhlS5psxzcGoA+mWblC22yjhnmyoR6qwV
Pb0cTblukzbKYztiWfqRyALsXcD7flNoTeHo2pAy2xA5lacGMYf6b3IQ42lvU/7ZqDYgGIHD0+HE
g22gdLM2MsPwtCtUe+k6lJWClJoWVxm1SN9n/nkbhPE3n4viEixtsDBz2oU2Rg37XrFhyO0+8JlN
86jZhJKwx8YoAnb+e4jpJFNiQEWagp2HjZ7jGYUgnWPs/WI5mZKHugwqchXRsvAEdyoRDMuu6ohY
VE1d27Ir9Q9N2hu1FQTghUmULRWWxTKhBbbjpExvi8RIO4slrf+5jdL8rFdVZRVGWXw0VcwdDxwM
u86jCHzqikQt+PEqW7WFpq5LbSCu7yMB/t/gZamNmyA9NcwqucWRf+P3GemspGblqvLK+wqnGnHM
BsOLDHsMuoHWwzC61NFlEhj8q6fX9DwwOboc/K4RdqsHNLVh0YVnGpd9arU9HxzUGpozRN1Docrq
rtY1FlhtWjHIE5b1GfUwvi8D1MZLj2kotIYg9r5B045srDArtb/qlKVOUSh8FudZcYZKkTyGTWGC
3JM0vguF1zGrKal/Lj1Z2z28hyVkk8V12aadS1tZLhDqUOMmBkO+3bQ+L+0GB56bKiKduhDXgaf5
uoNQXp2CqcHg+uiRObpbyZcu1YMLLEVxZ5DKWNYi0vBCmemw5mYuXaV30bBoYu4vtK7T11gl7Xfl
g+NnD7jSawidcOMvuirKQTja1u39puYLmXuBk1QEQjn4qgWzKiWkdZu0YVakokizmdcyi+VGN1i0
SjzIFWtZupRm7Pq07vUPLUHUCZXUEyuClVQtSNUKtewI6y7NeBgS70PdllWaWn2Y9Jl8DLwA4+Gr
arWOpYElJKjy/AGDL1cRCYcO13Whr6q4SuPuXITlsGxEXXlnqQxDcMNxkt/pTCNnUU9IbdeAgQf+
ri46gCvl3Mk8D+xhlcRtCTm91tchLquQdx2Uusny07hnbeD0XSKqS1NVBFZU6+VItXYNtnBhakHk
XTcgOqZvl7zgsOBIrNJFBoGRsJISjJfndk1o2poHFSYDAhQ9o3YOKdoUss916y3ahCWpqzzwChZG
5qeDzQcDNGaGY1rbaSC1BBJSva9uVKilqZv7If+u1Q0LITrLcbUMKa/5ytA83zvPCKuYEUGQrsqh
P1UwDlgGbuEHLHU91QzlQkiVhYs+MdP+VFcqLWwD90los87ok6UMy1CzAVb8WSvSATlwFk+cOvA/
XbtOIl1T8Mqz7HOUpiI9I1JUiRsHlXk71BUhi0jLMboI2gD8eYsFOKiWnmyK7A6MMTmP/AHHi7oA
Dty8SvzB5agbhM2jvmivUt7D0tZAVKTjIVSfS2IYieN7xK8dljUAZ8gU+CfZEJFhk8RwAJjDgYHU
IX0alGdID+mpH7LYtHEcl8QJ89BzhtqLDUtrZSFuIq+NqE3CMhog/x8N2oXuJXSBCs83gF3BChf1
wZCfBSFqfRfCz6C1xu9ZSIQig+Xjk9Lu2lAbrKoLtb8knI4D8U0IcoRXaMjCIbR4QzVy3yctrldm
IfrcyURZQcycgUnyFYuBQKQE3pYXBij7OqAkC87LPk26hWqNIbxAlV/d0wgbawNCH8/iCBbvoobE
C3GVOYTAfI2i1ElICdkX3npuiMLya9K24FlEftTcQZ2h/VbIgJw2rPU9l8eGDtkQyBKRhZHkUbfI
ZINWQ1cQ+kFVBrpHlQbfaE1NcbtCPevcBqdReCo7jNuzjPkKX4caE58yvRwXZxSVaskSFaibrqcV
t/WyBWyCNgPGcgVK9wIsmPhEuA6rOwUtKR0YnNflZ5USHr6JZB3Ht5hngp51NGrrq6qrRucz6Lsb
I9bMDko/Kfx0no+BawfplwHy1Wx8+JH1FvQT8FWkaEWNDJ6iLg14VUGcx4Mt4gZEp0j8OPyQSQYi
L2vwCny4BjoVV1lwXSLay8wiRaAD3K3s6qtUCwplhXpddosOjq4hbt+UeFQaIEw2PBEokE6g0U+u
svSTByf9nvMmDLnFAyOGddH75rrNCLDRyai/JVWnqwsf3NzoIi+yOLrjYC2WKtPRqhR++RV2z5sQ
t9IgxOc590V94QW53zi9ZGULDm5PlgWG12rrrOwf4iQ2brpa6flpqfdN/Lk1U1+dpp6Wfu8HMeqQ
sEwCB+IATtwQ94FaFGYqPms61CTStvAh109BzfWQkrsN80pdiDSOIF2IJfZB7UGpxmoCLD7JSGt8
N8EZiMmgeUSc0SxH5SYFhdyfw7mnIBvtqLHdyNDgjXbN0LhgZNryAskam7YnoIQIlpY0OrjeZfSX
FI2413pw088HUUn0WKmsV1YKVdjmLGwx3KpLUTDYtB0TUQXAAlmVWJiLIW+a6qrrWXIXNZCa50xB
Mr9rjNOhNQGcWEdqWBZJnOdXmdnRS63Sae4GZZY2F37fFgGkL1Ua3IMnoh51kYEaAdWpGisOVKss
0Ta8BCvQl3eJX6LwC8oHwhtrAA+s/1hURBNwM+VJN2Ba7J9rXtF+C3xda+yEKTM+C6E4/KFTmjdA
Sq5UkKIbalikIa4ictPFyWCsUrNIEqssGt28oiignd2Dd6PcNigAtZZnoW/JgaWgO5RKXNSRTkLC
BXO5HHgJqz+mnQ9JPK/Xle0Vyiw/t0aP7qNAwloDSyc+wVpP1U0mMgQKFhciWvA0MFurq79iXkM2
04rjhn00cFa2Tmv4Fb2iXsKb29JTAlJ4PqxotwgJoAmBQ99dhqSK80smi4Dc4E5PzDMP6lvwXF2n
+Vex1IrWSZUHOgO8sbq6ShIP+Jci9hcq4HHgtJ2un/UlBbnvTZOFFtQ32dWTV/pP102uwgeZq/x7
NS2cvKyb/Pv/XnWFQiD2enXlv+2gL5MwP3olRsqfKRWooYz1ETivB0Ohjo1HA/xKqcAEj7F0AmeS
E2NaXtEZJIihwMIwhsO6tsorCLrTTfF8Aqf5xvLKGP68DO8MSM1Av+vYAwk72SC5sx14aFwjseyS
/LruwUG8inBhRCuo6kTYrao0uWFh2VR2mhgroyhv6oA/UD9oXYnT+wYlOSiZ9LLE8mvS5+eJym5D
qNxXGs4tEnlX3DCuig5Cv4y1S59Aqliq+DLQ289DlG1EqDorbzC4e7GZfzD8YYFSCoWJIbFqL4gd
TGvIg1bRVVVrkBTm1JGkydA3rEHWEhz2ZNH6DUdnEF3J8BzHZuUvY6RBWUdvhAmF2oKAv+5pOiks
synOWMjSZcnEuZnwgd4TrwLB8dI2qh3xlGOUY7oxGhOP9VMOsvmRj4TMJHvKUSZP+UpId2iOUFxG
p3HGmsEtpa+XLqTvhW8lbfetNsGVbpPsMyuM2q6CdskbIZdFaK4LL/cc1pbdh4gn7YLU+VXo6aWN
VUWtIgjdcoBiTiCIm3vNR6x7nzQ5nFVMu21YamdNe0b7zGm06rJrjWvRmFAdL8yx2nHbq3BdaPkF
xGmalVf1Vc2gYsG04pQHDBLhAt02tXYGsbKbeeWK+8V3DD5+qrWnKKzOwd6d+l556YtsleJuVefy
m96rWxEkpzgyP8aicQKDQfeAf20GjbKg4n6XFIPFstBJCn3ZGupWVtwhXXsWmfRzykxLF3wtuDpP
wAWxeUqwG4nvGcpdmkAVqq3dNudLWgw2ytWVF6obAXk7qQaH1dwpNORmLFgNeXoN+QJLGAPkWOip
6vDnoc2vGhxZNM1WgKVdRO0CEmmryMtXioiLgRgLaEk9j4xoWZj6X9gAnR1WVwWpvvk5hyoPQO8z
cU8lJLRStORmd4ma/2XvzJY0NbJs/USU4Q44zmUD/xzzkNMNFpERgTM6+AA4T9+LVKmUUpXKTGbn
XLSZum66TBWpyH/Yw1rf2sC0tol/Yym2krG+UYzej27OzOo9RyI4tfX2DluZD0130gSjCcaTpBjf
k1BnU99+jmvxLH3xYIS3L4boCmed9tR2N349tSlzMO/C5XXCL5Ghl+RNT2CXrGcew68S5qqMyd6r
lsu8iJPUm5vl1LuK6cOULA/KNUlalFN0H0fqULFZ3LAivHYRhRvX+vWpgwgg0BllQNCE8XpFy3jr
s+hqJvhIWUyCLZz3bGTzkA86eXPlcuMvXR52wVVclffLaFi+DNVmRsR5MI7fTO3w8QsY1uzisIyT
23tB8W1V7fWcLAI90D41GI8DL4jRRI3eUYkJnTT9kAZdGGeeUEs2TF6/o4JcF2H4EKpKZV4Is69e
8I5PNbaGwTvoEKv8VMvjIBov83Rc78eFXJvaHpqi3NQhqAva7vDpwLtFqUkTq+9GTLNZH+oLDWDW
CqcvbVfdhkVzFYzegQTzrmPjzUBhUM5j930IO7wZq5fTGbhPXTi8WIbdRy0/SUwTuZJ1kPZN0Ww8
icm82mbSp0lGRVSndTVcdVVr08Z4WUflFwNVEvhIN2Vet95YElwvTfXGghESCgdMM/RRulQCvls9
PbCefjIJO3tReeSebfcY9QY4YPM1jiS7dApRATqvHbIEmmVOx8LCDB7GfW3dlRzJnLKgusXS9Twx
yzIhlqeSRfi8QxbpPZNNvLktsFfDs+uaNFD1cwKMJUsqkaRh5M1Xqwzai4hYk/1/mRD+7/X+DUP9
897/P93Lm1T/3ve3n/qp76N3g8LCA0fwYHQCWOanvu8DkGDbY0gCQiFY/kZV4Cqyj8QCmAvMCj87
KTjNSnBuACowYAikE+O/4qQEP6T+37V96MgYLqAtE7gzIHB/3/blEK1N5Ap967fBEzC6R6qjSxfq
+2aBsTtvhl7pQ44j4bF2rs67zfQrNvvPLLZI/XHAuuNmm2NBf/DDdc3EEJN0Dg1L9UpAN4yQ4RP8
WX0sxa6FAXxKSkXR49pHtdmRay95SuRy7Y2wKru+HrJ5sy+9JUKH3CzNdqJeqsw83vjwO/HI0+ga
3ba/qrcCIBkd07LQ5Y5uTqlGYeabecqEKNNV9U+i50Hebg6rr/RphOVacFPudIMtPg67d2i9n6CT
eWlLo6OEYettzm0x6ut1W4nXqHyFD1anY2RdpmD49upUkyuymcDiRQWZScqjlEWZz5OF7r25xrFr
2rxvF4wuqx52A8zleZVDuhj1ZmE7EzPMaeLjL6Sm4qRhTTuQi6nrd956ZeFaLyH/FsHFlpudnbjI
zxM43KpUd9VmeYcTh+O1kFsAh5sdbneE+3hLglinpiz1Kd7sc6hfD3Qz1BM46wvt73XPsfxupntF
BNnTzYjX8QRLnim7w0hidu1m2BfNTFLl8ysKL99ZUGSREnnNe6AcGszEZvyPAeR6rtFeWAIdFYza
uCs3VKA0fpAVoAdKT9aprIbD6Ndn3cRPYbK+kA066FyTGt/s6kkkuaSigVSrRDqAU5j9iWYM5AIe
najx/o2HJOjqrClI798NoekfeQGIhSudDo28XUP1vZKzPNHJu8MH/CWRlUxVXfZn0ZAvapyuFfS/
3OMhDK05eAeh8j7Fzu21WeD6a14cIcm9dviKphK/StZUrIHnbB8jWupLx/3zVNdfhxWjxEjWLJLi
IGfvanRuSDVG6r0pwVHKpphTpfWNqVd8faYnURavo4j5sQ8ggtZe91isgYDAYj+PQXxqRoMOEMlz
5cAzSMe6Pdf9iZXRsxK+OE+mZ2lTr4/4M+ercYomaCJS7gzAuuyH/jUpCJkk2d68BViCzwqWkyL8
rGUNYGm1NtW678+a2iVbvDhOhavGtNWtydZFyy+lX5THXgh1V7MoSedgzJfekT233SdwlnVaGgHJ
oQYEQGWFN2jod0Vbg8ComgrfdkNPutqYkpqJXFF78lfun0YuTjEp2gPD75KOLHApyqJJOdZmXZs1
lSMQXDMea4/ltQTMUNemhobkEXzTQnRbny6pC0UMnhdwZUgwueL/8cLori6TVOrpmSz1JVL2LANg
oaF6nGIAR6vuDsJDz+67YkX3JjfTYp8rCawJzNddF9r7ppw/8Wa51t36RRdQYRrYs2kn60+wMM7h
4h+d1k+GMz8dbe+nvpRBmrTLVaPHXewrue8c4CiqlutCBfdN79rdMpNdTIcztbZPnbYfYVR8q0py
C5/oBrbW3VjHY8Yn/VoU0ZLaZv3SCh2AKOF8Bw3vm+5i7PbgaVJDhycpwsviDXI3tfjUwMd0zafA
1tGxClkPpm2DJ4SEAr/hFH+3cB90AIy0/9rCW6Ceby9/7OG//Ni/ejgW9O1hJByKPA+DGJ36Xz0c
z5qJQTb4AXrr75s4jvMiPQDyGYg/6Metv/+KQ+CaRBQGeLIrHjKGi62U/pUmDrXuj7t7DN4CmQjk
o3CzAGelft/E+VKOieXC3taVGc68TcJr1S8X3rcAcK36xLoOBI1pjr2M2/VdSD169xal241rlcEd
aO8TMfSpady9KcMzdg65H1tAd2R1sPWxSx+qdgJMPIh92UziBO8InNiA7zjUvVJkyTT2+y4eWvvo
yuFrIpxMPTRqQGgLmLSB6vA8Ld56jpAHEEXmuKvOtm1yRwvvaDz1gXVzBVHgFwdHJLxN0iSn1pbT
pyHh/EJRla950MO6qx4HC+Rrxzvn7wfCsacoz8/jKekBa6/o9W0FvmrbwRVJLk2szG4sSRYZavbR
MtzwSEzpFAAjn9p1Sb3CwBEQ/XxUs74hWieZ6cevCri3I/NO+C6nml77YXmZV4PvaQ2Cs4KSmdac
gzrFOtLjHcYM4oFyU6b8KGbJvrm1nor9GGEVg6UJt0lockyUfRBN8Mhrv7engQnP3FekH48wJbN+
FOw4Rk73j8z4iUqFLeIpDeIiPARkBlII0P2jKex8QtewBwsAK1+7/s7V+oaFw7lvxc3o0ws33l7q
+ex1LJcrlMKxT33wVFE1vM09fahM8vXv4oHiEfk+vrR/Pv+DxjQ/DhHgOVd/rCC//OxPFSTaToWA
oCbIqW7wxE8VBAUCT7T6ZZ7/OfLEcSJ0C0rhIbMxmKstif5bBcFaANQLouCPFSH5KxUEHMe/V5Bt
EcCfCfASVe4PFSTp4jXpMWXctlMF6ztTo/TP7ULCc7+CFMhq1j27usTEvHhXvAe5UUfdlM41y0Xv
+Skx9dNSmkvDl8fJX65cgYl5ECxJoYrD3qhWuMbm09whANMFp6hiEPQKmY5cgwBczmzAPrt046la
QWZ2WsP/Rbsv4mQ5AL7+CHhpsvnHBxnJpAwSOt2pxhvTlSNVUdc8C1u46YkWXx1DM9Vt6HaJcV3u
q+EpZBiHQutRUMhlFgyrn7nZpGE5Tpnqi89tQnJDGcZ7rfOoml+ZbZAoGbs8IvF3tPAqm1j1hcGh
SiHxnoKFw66qkKSR9AsrwwOPIV0Vc7AXXHlpoLsjZVOUT5JDpELxdeGkYF8ur04Wr51Zbn0pxhR8
9NfKT6qsC5tD0ywnDsBmT5ZZgbLyZApl7q1EbixfSP9lkFAfAjEFeWHNOyvoeqMb91INUXGxUQUQ
BAJQKkq283pOHqiOETACRpBVm+Ek9YLky9xcSDROAClBtKcQ9sweOEu2hnEFBDSWkCMCP2tBFey4
AM9ZJqtMLe31tfP5kjcgwPYcE31etJ7LDLbTFDqu2HkVUAfnV8Wu93V1AUvcHngym0caTesnbHMi
lz7swUa3/jVm3Xi/zk3zVSrMXVUcsy8gj7sHrch4JxitTpyo5WpMCvCwrpVn2HeI4XlhWF8Vcz9s
7vVyZdXa0nTt/OJ14ZXHYbd446mn/n0jE7ITYh6efYcX/lCA2fvmQbH7CDkY5G4r1rNxdtegfrsO
66PeSvq0FXet4Auj2hu34lWfdyO6gEY3gIWfZN5ob9TWKIqtZcT+hIFuayPx1lBCdJZwazFj54Nw
2poOug+whzJttobUb62JbU1qDRuSy61xxVsLkz+6Ga0e41/aGxqd3FpeszW/BPDEieH5AqnYWqPH
0SQ1uuWytU146/myNdK/i/kvxRxI258X8/9ph6p//w9lHD/1axlHCBmXHgOk0ClSLRj4firjiM8g
OIr/+4V+xdT5m5qTgDMIfLg7sFd+l5Hh/wgow7VvPHs0wekw1N2/wsX+Gz0GJQkJWfyCOGQRgoLc
yvxP9Fip4rmuA97eemT8WlYG9rZtX4mLTi1iC2nN8OnBph9HHZwRfAuD8ipxyK/xDkjAjPLbVWOX
2tLLVGzpvoz8vS+Dx7ma6I7H0mZT6a58U+TMg5pREfOp4nTIWtJeiWhss8lTx7bRLx1bkJgg4VtB
K50NXldmZbRcFj69NZZgIWowVWGk3jE3RSlx/brzrdfmqouWHE6qyWKb2Cx0PsuM7N2+l+6OuijK
adle7BJBci3NlwBcHOKp7k367IzuNuTjAs25nHSTdmWAyB8wwj5O7taEfJ6KtcTIVjXg5rw5bWOD
/8rqKlvLgSKtURYIYJyC0uxdLIt0hMmc0nn5tIry2sT9ZSiGi8DfCdt6BbeE0oe5avIJYYld09Pr
gtCnwrUGQ6XtoIkEgGL1BO6uQUgpDINjF7gqK/jwGdleL2O+Ky0U7WmsykdD6+EbyI5Pbg3ni9l6
YmD0oSUz8K1RfVtK2Pd9c+iGmaGPRQipzBiwbYBsoyj4tSjpp2DEWmmr+dYD+7trGrvmNFrL3ZrA
mihV4h08aR8CT7xFaLwHUCQZARtykezFLC8AaPbhwF60C+TBKv/QWihqapg7+Skhon9s/XZo3qty
fYMp8bAGUG/iHzGURgnOXxSpbwp8vk++6f3jYqi8papIbsOu0GeXFFmYYEyeY3Y0CkkJX/hVJsLE
3QT1CgOmkt18AH/3ee7nPK46cR0s8h2ePD36skzGVDEu1vTvOvejzkUQcf+8zn21r/9hWN1+5tcq
h1Mpvo+QPcfECdJ3O1L+r2EVV1QQV8dDdIHz/1LKfq1yuM8Q4JFvcQyc5p8G96/DKv9HAhgGX0Af
OX0s0PyvVDncZ/q3YTUOYsJCULxJxMgmqf9c5VqjjL/Ixb8FNfmlSProwJrAu1DPIkXDyXAfQRE8
2j5Mbpam0HspK5IZbKBqk4PmHjmACuztlVIoDyFvJiyx7DBB82v5Mlyr1YNZ5Yep4d/JhHAW7eZj
wCwgNzafkoIjJzYgaVSVB6uLNu0T12XxHD7PvTqGleifELq22I6H7wzpMmmHZ0XCIYO/huR9OX5v
XdLkUod9Os7zccH8m5WrFP09bpMdSB2Gd17ALgWbk52Z/SLrZq/IPQJ4tW3HO1eYl9iW34uOz3vq
en9XumE8AfHq0lF6D0jwtXcb/ZN2DL5PG6gIAlMc50XFwqyEup2Cw7kTS6h2KgnedMXuUbxvuKkg
wYrmS0WDJ+QWhtyr6fvQgNlH5XxWU7+rRn2ygDFTIIvHYkzeEK9AVxHi2CTLPaDYa83o164vL/Wa
PJEaSexohcamqP80xDXGNbwJRgwma4uiz6iJXpzVS6Zj/YXPmLn1UCGCHbF8Dv073oYkF0V1X0Hl
TL1u5vPZOV9l8Mw+MNaffbZ5vtVlcrI8BbV+sAxb8xIhibCqTmcxQ/lkUPahS+Tx2izp6Hl2xBtG
Y5UCadQNkpyq21W95rcJHdyh7TlNJ1afsJQn16VW73QEXZWscXnv2cbHJhN9T+jU3IyOfrQycgy1
Sfq5qGly0wqF4Gav4Bw2SIyZqGuAqPbDuYRULToFq6/lt7MnTYZLKJivnfzoGviHmsizVfRmAMCW
WbiYiIgidk6s7FMSeQeEWZBIJ/YbG8SnBsU9UzbJRiowTW7yuS7x4rZ9jZ1Br5/iyqWkkK9oaQcY
kuE57L17woePULidFcsBqB1HfAtSsm9UcGLtCC2iOy8m2oVlcOtIcxsG0I2TNoF1L+vP/lw8Rx3y
s6ZJZCa8+Bk6R4Rfm14VA84reBwL1jhuwS/ff+icOftzdRib+qGqyh2z7dfZV69RomRGGqJzp6cb
rhqbK4arBNLvryOMBAikeeepDcID21g6C/Uz78v4yh/Jd0jSAbIm7vMQUMzqZNgPeg2AN6wjuOHp
1BRY6qbeR/wU4Bhe6x0LhiLrGURvSYcvmK2vE4mcApf7WgQatwSK78af9wDnOhywmAEWxlJmTW0v
iwNm6JIWuIqL3swcXc8jVOkOWPtYKJpVQ4ekES4G1EJ/4/V46br+mTTrJ+Lpe/x+bbqGgLbn5Bq5
VERnqc3LdZrzhEDDGmHf2NV/0EnwzZlkuC1DAT9m8ZYzUDjvhE6ocmC4V1MzPmJnfRdD88BZH2UD
8okYJYJCn4oYf8qqRHTs4nCnitHmdeC1p66j97VP+xR3S1k2gtnDiopYVCfxIXa8nRAgjW9rqVv8
erLNC9E26VICQsFJpbSI/O8IsdR/m8O/4F2bivLnfRaEtvlP6wR+6OdGCw0YwapN5qFAuH5rtAjT
bZZsgv/grsPWg//ZaLc7WBGBSrOl4bFib4LRr412e6gA7uck2EPQIdHD/1KjRSrvD0zYFm1iCO1t
Of4QsZ/fN9ppWDRQeRHc6iX0YRtNp9mFY07qIEDVG/dy+y4qfCnjH9/OMvyuAn5ltu9ttH2D6wXS
pVHiYhCATnt8zb3aVylfB5svKAGLYjoPt6ogpX11Sf9VoFwA0X5owvrQo4zQgD6MA9zjenSQd7Za
o1B0+g6weYkypLd61CadAadaPEOq+hwBwoeTty4ZW7rbCOWMzGyXjPIco8w10Rqc1gk3K2xDeTah
GCKwhzMuKI6DeLBzGZ17lE1cl3jlKKMJyukCNTxtKMKxAYD3lAE1yrfaghnEZjEK8ozC3GwVWjTi
SLeaPUB9STsBqsrAyUPBCG6abjy3W62flfoYJ0HSZesDKxpCtXWGuRxv62gazktnAJdW8JPjTjbg
Z9FTEr8sbvSPPpPYlaVjuH7wrQtNYfx9rfDiDkUn7inQ1VSgaQnox9e1bE9R4sFe2jqb2HqcrpYO
SewZ7xquHqSqNGXWdMsMnL0XKcw+doBKVaZMgfwNFzQ9vwzIYR3qMh3LqoU9HyCSPM8yrbqg3Pmu
rY9BsLSQgKqtHm4RtBWBKrYAeIaBBm66IDlZHDaKUFf70B+KfTgH7U51Bhd2ZNDt+qC+Qru9rKa+
BQl1Mq5c86rjH8UKaq+Ou3Dn6SrInXX1jhSxO0AaaXd+LTheCOIguo/JwdRQWupF2UNCgR13pUKm
DMD+A7YOfrBDJHa4QVQffb8oclySQNMNAu++xWF/jDP4m44LY2nFfLbnJVia2s08xWAx7DzEAMD1
NtU5ghl7KKl4clTfWev3O+FxhyY0vMoWmmUlGKInYxKehwTbWEm26OS6vUQV7b/NOqqfe2QeUi2S
/ugscqJ0KWXaFj25jSD+pWJYC7C/MV5j5dkjn7EbiTkEXhHb6g3HkGII+XGxm8rOO/qm3tuo3WGU
gn8L+jntkl6lSMl0KexuKGb1zHM1dG3GpprdrwR1frEPbO6anaY1qbKWtjdITZkjwPoP06+vhkxi
bwZikRJv1XUFSDoLFpa3amQn5ubiinnxdOBFHz5g3v5UJdJ4uW/sgnMcdCEkrezwfcZvFa8exiBR
t6nmYjx4lXsi3kz2CyTKzJ+Sc99RhqM6jqTJZGH1aIdDVuBHkFjBQNZ7Zy/0j1UQPE8wjjOYTE/d
WJ/jur+bY515Xnyto29FTC9WsukLgIv3mYGGDD0v7bGO5hgo5yuLhMwxSQyuWils/mXjX1H828Qg
LtMUfowIlOCOQXvtzz5JpyT+tHLkAat65djeuzcMphBGuu4ka3ePBPUVlFYE2DYVtu+4PDQVQWhi
EpBonVzSCWImMr7dqddQRWIN9tA5vIVk7G6tVz62S/HNl/brEKI8cH+Y8rhRl2omL0vDGJCUAPkz
Lcs9sQRGV4AQJYb0qdbQ3Vdcymj1dK35/NkyACGxF94lS8xT2cX9CV4B/pfGxwTWoM0PRl5s7R/B
nvfZhKtatS/H2wqKeFojX5R6S5KbRb3rgjVpNFWYBCj7Cm+pi3ayX657ar7LMD71NvoC5Dw6AY1M
a7W+IiiHOJhcjvhLt3tBIbp3ZM1bFt+IGlUmkR4ccoC8CQTsSZKjN7Kjm8e8phWIuGq+x2m2q5Zq
MCJV+2p4coz74IaUw8ELx0OJGBje02xpCf579CJ4VWW6sh+6iu+QKzW7SbqT6UKBu1otCMLmHtEd
D70Ay1HgLsK0913i5aQSTy2yyIL1x9i24Hi76qmtTIbchML+o+O0w6G1AtHEqs24DwBZJzSD5Pde
2N6l6GOeO2hONQdx07RZyfoHv1Jq92Mk+H+N1v8fBOf+65lAZDyt/g8qhI+f+mk4wnrvYz9BtB5F
62cVAs9PwwluHuM0QfjDPv91OAqSf0Blwj+CmQWi/XeWGVQIKKNw6xEV+UWg+AtaK90uG/0emIfS
QXhIflwk5FBefz8c4bBYifxUEd426xC708pkF7xOIjDFLbI5Qddh2PHokRfb59SKRxeWYdrAp8XV
GgvHrACYjqh0s7OJCXMddf7RnxvUrSXAdDLJF+LWMkPBeVlHveRdIDSoeQa2tUQ0qqjv6hGBlLIw
u6HTYTpxhGK4W1EzE0xVkFkL5EahbcxeN+2EMm0umLnYfkhSElefJ8Luq6A/sLZTmVywcqyHaoRi
PPmdD/RI3q/gZSSTJ9xfwQHEViLvZzzMIojpoJquL0mt7hkb/aNFJQcoQ++ob9prG65yjyRcn9Oi
lQihjh9BUb7YGqpu58U7495xMyjKEcTdTV5Q5m3XXy80/Dz0JZAqHDM6hhrRYxXgrFEzEJEGEhLq
yhOVkWm5BGtV76ha3y0v9lZOF5LMBxLDwx/kQQd6p5CVRXeb0EmGJlNT8G7w1QagvAK5SzGpXvX4
6q8RErS2LGCzxyBnUR74Vifadjh2KByLrJ9aFBJj+vtB+ReBAoPoDQJcUXc/4S21Ww3yl0r1B+MR
vudsOJOoe+31ts7FxRV63BX2uB7OZNGzM+wEdU8WzD/fatWWdKcDWfb33mrccOgIak7pN/4XYAOA
nNnUfKdRgGapZpDc9juMzX1MkzKbOf5xZed3TD46q2Hrpd20HI0TN2Ff8B0OV7n9aMTH7KHQ1dx9
ZX7yZNblnkzkG0L3Z1+uXysA1xmLdLCLy/Ctost59kv3rRVjAxZ6QMw9wD2qCRHryAerFal7ZM2O
seLeFcLfT67CXwusB8DLkt8WiwZEIlawT1FuhUFDaRikK+b84xp/kFqGSE6aT5NBbK4bQpq3iHE2
JW7mRV6FVDby7QOJIP5PYMKl+F4245q11q17PoMGrV15oJ7+ivOSR4mvTdbzfgESD7Uq1iuQOEj+
BBGxZQ4LgIEeFDLvCyRCmMoBQd+pn6NClAjB0hhIJIA0pOoR+jq2cRMDNZTnPtJzKhDRtSOPUsGa
Dy3MLdbtl0lj4GkBwzWuvgEieBngwKZMJpceeeKUBsGU1bBXlYB2VptpPowLsmJG4HYOTfAI2YZ/
XWO5Q2zm5Ovya9AEw+PqMVzXEhxJeho9x554XMC3+sn8ZRRhdRpEclqX8VKUfLgUUn9hmK1wgeLR
Y+wkAn7rJfpe+Ox9CNebrlPHRuKzuTI4lgMBNY44/sM0YTZBgrG01UHVItk1SwIlaVrYNz3pk6C1
fSj4BPC9b/eY/y/M6Obv1vbPVNd/Xfv/+ewPZVe0sh/neX87ghv+fvePOM7MIhSW/POc7b9EdjBl
QLmwdv/LL/xVZMeVZHBo29XHH2d5tqb46+6/PSfajygyIjEO8PhQxf9Ke4uiP7Y37rOAR4zhFO+m
AGz//CcrMSk8yUrOh9t+wbU14higBNriu7v0n3H/gu9oDYkZlydwj62JIXlF5jRG5GOSfoeRtJvP
Mw4YYAlGS8Ohg2OJe1cRXg9ckgNWKXuL5QVbXB3Xr3OhFnw4xyqdeoRdEGrtd3EXcVy7cskdsgzP
keIKYjlo0qhZrxwio2VpJIITn4s6eOq6qr8FdeqhjyEjYasYm+lCqnPXis9FWDaImCf3vDELgpr0
nXjK7kvqzU/QeI+QWC71gKLpL6Cv9fKAmMXtIof21HrjzYSFqsRcGvm6zqZouepi9Sh0pFLlJBaQ
eAUnG+C7loisKPV3VxEwrmU5Yf9xOOFbFYeygo4Hew2CO0RBqLpaqeo0tfE3QnC/Y17mGxz0QkVa
S4Q/R5AlS3cUsCzypbG4AqGaHIGnhwLb5DHyCF4aW02XtoKO30XlTTJU54Q3GLBb3Lo13ltdt0la
jWOclrhWN69zhWkB+4Y3NSEuoeIKkV0Rc2/5HQ7vtWmAuEgb10NqTPAAxf5B6jfK5UeMP846vGTV
iC4qiH4RcFQyXWCfCWMDeDeAIDKADw4YTWU74ZREG1YZc3o7j/iAE3jybuzI9bjUC67TkGFXRTjT
S/EZPqyUPoXrjwOHSY6boM9D75LzOCFIF5sqZ2Nx4+sBB4mLBvH99qKlwQ1jmZsWOsLc7+UCpptE
1WfkrcJDvyCdUyB9nCftuF+r+NqN7guV3T7sp2+wSodTF0wPCD2tABrnd/ybEYQOWoDgI7ntMbel
I3F39cIDCPfiOrFecTUF6pWoIk7hpNBTVeKcnPC6eDfCmY52rgcT7K/7qImQeq+n4aacvPg8lFIj
pSxB4sQwqBO8QKOXRoy/4WjFfJ7gW2Me3KsBHTso9i4K5jwo1NcknAXcbqDRzYB/hUZrsw14RKcx
AOIl5pCkvE6sz8EgCYhqRNGCIX7kI7vgisD71rdz0kQPLRrdhSEmvnY4RyXmHJdc+h2GTiDRWrzV
65CcjIzflniTGPgK2mlKNGAUfW9GiZdYXReNz/NYzcNZxiqD4oBrwU2Io04I16El2RRiDn5iwaXE
fi4djkoXH+1Q3LXKWUTIcMhqElZmzKLPF2t7GSkcqtVnI5oR7moS7LxFf55rqvOqoF9rXNnD4Ulj
rkTo+dfBrKJ3SDTNk/SRBsC9T5xxIK2A4PT34vXD/CVoCX8uSl+/vL2r/7B4bT/16+IFyMWnFGWf
UNxCR+j4J1XaB/+Clesnwfq3zoQDaOCS8MQc/suFt586U8wCrGRQuIMfT7b+K50Jj3P4t84UbsQM
pF8gkThC9wdV2vOJ09QgfVok3T52uGFjIFMD81c3gWn/l73zWG4cS7fuq/QLoAPeTEEQdCJFiRJl
JghJKcF7cwA8/V3IMjezzK3o/5/2oCMqOiVRIsCDz+y99hOCC7caO8eb42lvBVO+KfLwmJX9VlaU
T10a6pVwjFWkiXaFHPqA3x4OtJMci2gA8iNJd0UcI94obUABeXZFoMcgK3actR5XH0qP6Kqz+1OH
emNQhhf6J0rcdG1AInAhEr+aTuZJmJKvmCJkUKzpIcxFALHHGDx+7dLv+/hUwphhPqi+9JkF3TDW
mT9oeutRtevQgIKvQbSfWmaY7qzK5touqYMhEFzKNLobw+JtlsVVmmrWOGY4rEojntepZOwN0Hde
j6zYrZBg4+0p320j+Yis5pQD+3MbwZ/Yo9lbt5VyBr/JUyM8ltV8SMp42CQNc6U2Vs9GkpzlhfUU
x/hFhN2Nqwxp/IbuFel0Kz6CNmmR/fQx82k78+fImDy8pw/DMJ3jHmgsAhF0dcArb0TuXNo88PJc
wYAkGj/JcHlKznyIMmcfdeOhKiOZBXrUwjIadqHCuD8ssUOZgHXdsgcAJMWt7TmRPDPwLxnolUa/
7rGGsWTvtD36vsR30vGbNEzTPmS2vpILOfTaPLE3mrAlyDzajVkrO5jflT8BxrybpAIuZt05/hSy
+oLr4TBEAiBU9EV0V5oSZFQkM7GFQrJ+neRq3rQhg9WsinI/Da0YL6zuW0VTQ6gapq1ZBDiB6pnp
emG5YCI+AHflK5BuGIUxuq6zYhw9moPXzBL4fJrqGKfV5PFD0ZfbsZ/ExejJHN1xoDDlKsx2r6r1
fRpYkWepw+glo8EN2VsGj0bkRA1sphVH6gdqHY2FQ4/UVtJZeKeFA/qztLZxog7ePNlHJug8ZUfz
s6mGkp2/AjeRrYTWcSsbejJ64RBnfhVO9kqRzEsRaa+DlSbYoZnJtraVbbt2zBjBiouEVXCH3fYD
1ytSijzApRQWtif3A7exY53hLrFm1zN9K+XGi5Oo73Jabixp7Nbq2B6lXEKfJdk1CiZ211HN1kcH
1S6s2vKK1gECPs2dvlegjxqDy80br8eFFKaJT3w8T2PIZ15NYdxlzN9dADr+pHXa2RL5C9LQ1gts
5utB27GONqbrGJqs2gPRrMEIubZYdBdlN63StHyyy17AqoP1E7OxCRpEXQqz6QOesRpdMo7dySge
5jK4bczqph95TrLa+Yq7+qJqIG5V+zDY8h1bi8M8Rxs1zUH4R0c5oR0t0Uq7etbrALL0e5kBtafw
c33MzAdbS8XKAqRUWkwBQD69CAyErdAPsiR/mXDP0PUuR5OO9T+f9qU0vamoxahROsOtR0Y08IXN
fTx3Ps6PMeiRm3bdU4GauWRiQFvIhr4pLxrehGs5juJlZAPE4kpuh4ZVhG28okcw9l0LzuSchVlo
77pa0l+DEIDvMTFilGY4rL3eCZ7gqJjkMbArUwLK9YD7ZauDuF6LZM5WgvtubSBgcbkLX3q9384p
ezKa9G1kssqwYIBtBcWT65TBnT3Pt2PBGGjOmfNLYX7OzDB97BVOuBwogtukmbruw+QLIeNdY9LA
SoIROsHOgLsZwlqUp5rTfcun4Vob5ezzKWYX0VxnB7Z8Lc9nR48PfTqxLK/kN2XkHC8LcZuI/F4R
SrbquqDd1pkUc68Ft1At1dXUsdOTwmQExSaUdFeUKnogrXizyoGVkdo36EjimzhN3lUEN0Cd3kdL
9QvI38ykjA1udj6H2ZBCWEgf5JGZT4lLFnMfDlBGanTg0mDfhlSr/jAlX6YW7ee82wUF9bOVxWtQ
F4qr2AUAuqHWXCsXl3wmQSIKOP1YJoR+oVWsoqYuB7QWr7tynBGU5xuwPwraIJI3EEjfx4nh0CxY
CDLqc9mir0NcBMjNlqDnqeCuFdTsoeQbTdOugI5eQW2cy7w+McMsMLibRIsMH4kwATiO2UGA63CH
sTsE1fxk1KxDqvh2MkqQgJ25rwI09n1S+WB5dlVrv8qaHW80tHorlKGK2+fKTaHF2srAPoRPjlrd
ulhOqrmKqn+igm58MXPYanZ3SHJakhycGF84+o3Z7PXOZvAZo2uJG2vnmBbnMwMVYOhuKsUX9hFv
dW/t1Jr/r5tuhlK6phqXWrbrddOXHcfN4OdK+Jk4ztbAHFpK/GtQ2V/dkHyrWuWQq9Ev9NH/DvKV
/1M0zWyX1ea37s+zjuX7fqsoVQ1mMKpBhu+mY+CS+6GiBCeMnAFpNF49ZulY236tKPXFdMeAX6bY
ZI5PMfr7rAMJBPFeqo5nhmR1vuY/cr/8cdIBs1cjmwTuDcIJrDnoKX6cdHQ96ylQiuLcy/sQq8tE
C/zL3QHY6K/TC/SFAPDDtoC/gr6WuQw3K/yfX2IGf3wRZg5akqRtddaEk8hUOkbLuRNpaqGdI5Dt
g1eX5pjezWVs2qeF7PnchJaa3tmyMa0iOR9VfBDVqgXtVkeAo4IMhVO8nmO4ETT0q2nKzgE8mqyU
AH467N3KSydXkOYjZT3X1v0Yt1tca3hEcrh0cafw7K/3AKZuJTt953x9k9iM91W1Y0P4TPuurOY4
ug3BedhqtrMisGDK2Hw1vQUILBZeVusWKwMQcFKuZC5gsm09MCvoreQR43OttezTiufQlHcAwTCv
KNUeffZnBhbYDUYwN1P+GVSY/u28wsgvj+zz28ZnsHwDkUd4doFLpREq9nBLfh/bYq/pUu4pegFy
KNwDBn1sxojAk7h7SnOemdEkPlpT3096U/h1UlHSj8iuakvD1RMYq6BsLiTFN/j+sbqHk3bMw6JB
GqrdZTyEV/PQP0uJhjuFAYGhWuzR1e4LBy8rQngqREOU56LUD5Zo9HVFUICbpXWyNWUkExSi4WpM
elSSlcpAGhYHdsn5SQHAqnE5KWSle0NIBdLx7IGieNGqpi9S3ejIzKsdxLvklHUCeIeU7lsphleg
1Exs7PAm7D60pPQdPFJxLtSVPtac4XCFghnVSVDbOB9DZd/YhAp1g7WZLeOjipF1iKk59Jb+YS/D
ETuJv+ycoUuoQ12l9H0Ia/NLjwVQwfgzrg2xUtpkG6l4/RUEgiUPaKBM70qSgOvUO4xNabHLYkCV
+tD5sQ3Rs9fwD+ltJ9Z0787KKPpz70iPQ9izos865tVRs1b06BKOHRlKFrrYItDWmc4mdQitNbJX
ehg7oaRa0i4Yro/O8JTKaFziyfxKEufVUNKFYK9qGN1T0PMAoY5FnjWrEBbLinPlMZzqS6EbFZZ/
7TbMkLpGJURJZRxfhwSBWyVqogcYtLmWNb+kZvBgDizKB9BTOuIgf2jkxzTMHtsYKP4oLY7SsDvm
lvTVSfYLCg8SBdJoZWlKi0k+gM/GdM8kNavTpnRXqdz9a6E3dbCteDcczAb1gxGK2WW5zl2OkPAx
RVK9M+YxOZuaeKhrdSvN1WeO5Z8uICNXovoG8bDuCNEK6WzoB1LBsq6Jkydd71ivB9Tf5rVw1uNm
iqbkJl/8F5J03/QJul+ivGp2+DmbrwHJsWSNpQeTtly1mWG4M/dvqFWbsdSO7PIQKy+tDSKKis/m
Ep9wakvrObKNz1hGGw0+hPJ8VvwcEM0QTQfsz2/S2B9Ex0jV6F/CHjgXZ859UyhrgB73paLthCLd
I3bAGRJeIXC9tLbBXEk+OCJcwAxn2KHHue38uU8BF07f+gHgamQlXtp26Zod/iqFFGK1DUgA22BE
NpwsNidNnTKjnGcvig3hlg7QhoSQlkCSbqeuueaxk64Dtf1soRWo9fgktZ9Gz504mJav6YiHVgGr
mhw4k2BnBUdHktbyMFlXKxzGTV0j50xCgjUMu+qqU6ppz3mpE9owY/kfCji1WbJglNJSrybmrbO2
6aayWdkZY1Bby69p3fqgSZ6FyK64ql/kHDSA3BvzmQde7TdZ/Varyi5qtG9jYN9Ciz2hqg0X+Ui8
DLMVD66aDWQoi/18zuFQAWg9hnl0icPwPVGxioi0zw7NPFksejtkE4U8rfQueilUrqKIHuK4TDxH
k/b90D73gBUvsNxyP5DahZFRt8hSePZA6+QMwGRjem1fzbcSWTcPZkL3OU2OWIeLNp5PefsUOC2D
vM7Kt3yaba/OOk83h2E7KJ3YBCpiPS0vp40o5Gg1ZGyTwy6N+bDHxlZgpNy26QBZtLtv9QjGlLJJ
SJxzSymA06FBezGVh8oonxtlvIRGY+4cvX8uEaPixpyDf8g/+9kX//2haztQ9XjishchqOjnJ7uZ
9ZVqq3V/Lm3SJZTbxH4w+a0NRCuJ/vTDHO38CzLnX38bG7i8loIhQtGw96LaVCyUDD8+4Nu2xPUi
WnG2g3WQXmsG/tL1/+8l/rCSQSyQZaLPxLnigwkwxo2YbleX/4cXAT7OaM2kxlqqrp/+jggjalII
cdaah7q8GSUwFrv/+yX+fFl4q354iT8M8LoeCquij+Ks25ecgX2OhEHcFtZbMv3DKzHF/EPV9fMr
Lb/JD0usLBqM3CQ65lxPjP4LkFnqvs+PYlgPOV3Yr46ivy3zll/8f2FKv9wDEPoNcghwerO8+/nl
OrrIuekUgVLpWWF1YpkPYXSY8ufv799/ew2ZN/TvZ9feZ/avE57kzz83G8s3/tBsGDQSsrlceoaS
fBB/X6zq6KPJiEZN9Kvb8vdmA7m1LHMFCRHVuYQa3/XrYpU+BHoys2302Ro2/f8M1vHnZkMxUG8v
5ipH03/pE364I7ugT9psLlTqyHErp/GNFaYrbZjWP7wzf3EacYz9+V506I8cRcNaqoKu//leBFif
IilNxdkA97br4CPra2Pu9zlgThwRIUMPYSGU68pbZ+pv6rR6tFQsRhVgpJUA+75OGyU9DA1jBUzO
ZDdMXexKBh0F87Rn0VZMpO0I+cyihY7a7IJVyF6pVXYu5RixAThI167Vmv3egOmeISQ6W/tQ5/hK
UIGvCtwJbDZN9MNp4Qfm4Ku6wdCJ8slr8epUlv4k2daRB4Tj8mc+R3pWrobRuBCgcC/l40mSjFMX
yzT+Am0hcSc7AMgnEeRkWjrKI9uqzJXDgbH7Is/oh+4OjrIv9P7JsTH2hNZrmE8vzRIXlsLIJGQ0
PhtNcDBhBPtsILamEzSbNmLFrTXNI/vwbWzr4SqLogPa+/dCRKk/5HLlmQPezqwc8UwRhehmBDb5
Sje/KjlcwFlPbnUb5/yUQUivNK8209feUh6bltn7mPduqUz3Vt1vwD1sQzOUUI0Dtxc6fjGIwejK
VYPJK7mrecd+2HJenY6kLmZEfR0xZe/1lEmp7Nn031y/ZENG15cNBtSF+niUhh7xSYFonQ6TgfR0
UmFwssTTXQE40E+V7AzQOvE1TWzmXD+GYRC6naJvnIH3NhJEXkomy4uqdl5hRGyR99+XxTx52txe
YxMoVgjcmEVydmlFvyP+dfAaTf6QieZ1QzFdszg2iB6Yb9URqlUbJQMc5uabkqnfVJEhzRqVbZk5
O7B3CjotsUHdf5eTVIEjx7yxtLlYmVnxMSfVc2S10So3ywcUUomn11a6Fb22QdK+UlmoIt4Fs8wt
BmmLlepaGaP6DVtU2PizLTH4NcyRMa8MonEA2tgA9tZFXXiyJXzFFotStxn3WWaAeZrYIgTkY+na
NyE7u9hQ/GEuUSpMaTVcU0Nb9MRCkWfXiBfhE4IDL03UnUbeF7bBU7eEwdn1Gzq/eyWVPqlUUrdG
u1NyN6IgHwBmtB1YL+GVIlV2zMvRwovhxm6QzS3FG4NYxLvtEC8gHPFiJla7HsPqGMaYAlt2yKDQ
4Jq3N1WCEblrt0J0z8R2AMV1UCskMvj38piafGS1Ij2jNjpkkrSbM6T/URhF63mcMGkM4CoFI/ZE
JBoCCeWeoAF6he4zRQFItid6arN6ZoYOe28X6Q3EeWk7mdbbmMivs0FKMqHFLdv/10y/sLdC2d7v
q3LZe6BAo79WfYLZIkfvIPpqa6Hp24FurlEilGxzNWw0K+l8WWEeEg76a8E4tBtL4QVS07AmqPCw
FbdTKV4Ac6Kxn/QrcUn2sZIItnhY+BWhrTfBlqU7fdg/HKM/W02XJzqPCx2JHOhltKh/nA21LVu5
YDKns2BJ4eqbYD9eyuMu6VzprXiq1umOgtwNDqjUsGBttH+oX/5cUPDy7GC179tOVN0/H+JN0BuD
ZPbzebAgBu8cGeDp+CqV/xRG/Vevo8rUfArbRJ1x28+v43Q8s2L48mclviHbyc2yTyfcsT/4Zev+
twXSz0+/X95O3k/mXwiULNq+n1+nrnVAyEokn03j0Ji43Ons/6kQ1//qmv34x/zhRfpIllsV//t5
8NsrQL/1sJW/2Z7NWuYIFjV07zG+uqyRto8n28vc03CM/Wu7DtZ3yV64W4RON53HF3qlz//W13+4
p/5c/qqqDqbL0hiFOui4fn4TMjJykHvKyhkL0ym4k9fyUXkK98TKkNnnTe7+RdmMq1Pti61hrPID
y9Q7vB0+zIL/OvN+lehxg/99IXkpUV6Wf64idb7r9ypS+TdMDrzlFqwPA2zTD1WkukyzETnopvar
0uE3EQRpuHwppwYV43cD3u9VpGb/W9ZQ5v2uZ/+PrHmKvbSu/9tqIPRDbWEjg8Cax9FEr/bzTaTb
edLovTrdwjJtzlYy5fexUlnPZaar+2mh60wKq0S7G+QjAqgAvA0UHnaq89VayDzkcWQbbsT4YLKa
W1tSRwR4XEdru5ZPWRY5x0FTghsDz+4dmA2+n2WnTnXW2Wu55Nkj2c5+VGfKjy7qtkqlpR8AzIsN
vWNAnOkMDrNqx9c8isJ9WQNv0CWSIhEDLStlm/61ma6OWq+iTHubgtza9xT0fldK4lBA8FlDWgVc
2YGOGDPC8QCkI+xLU0Jz0CgzDMKRD1eydLSuWeBmHUHiSfJZgWzT70hZ8Op5Dr/Qtb1EI8ksczCs
mLTtQU46TGmLdKfODsBU3VLPoRI+y+m0j3ut8fWqAB9Qy+tY7qRNZ4bzfg57bQ8OyVpDTj0oEib4
uGOjLkeRvkmzQifDRQ22JiNfNzbCdF/D6XCDcribmwQvIMxNVvMGVlzDWCfsrl01dE5ktKXQuXl3
pF4iKERQGOaxoty2rWp7k8VIuI7afa8mr3Vl4T7OusJFHIoFLmTSidSgWwUDFwxTVQPfNpWpoZVt
ohM0KmEZHI1hg5OQGKa5r96GMkyOY6d/Silm9VqmSEUQAjSpyLA8hxcqx7vcApmSjuNGHbKrmojO
udEdan5kn7dDrZxL1b7KJOtgtEGlLMmbEQM/M3FjHVS8jmmmlQskMDy2rYH7qcgPraZ8GkbZ+60p
LgNKUPSiA9ZpspncPJdvrdDZFnm5GTTjJhmdYyXkTaT06nrOAPZBNEXKnfhzGN/mc9y5Zpf7jg6q
hqLjaEzQy1Pp0SZ81ptH/WAGPf/SB6+52rxrQqkRjNgflJAbXPqPtUMZOwYV+JaqRTFUIJ84EWRX
thSOZv/BSBx7gQbn1g+gSznfOVP0AemN8p0+1S8gqmpBUlkKcCo25fEvz/r/dvVLNfH3h/E6+5dX
NnC0/3weL9/423mMKA1cJqRqTaeN+Rmgp/ybvDaZ45rMHQzLPE9/O49RspnEJSKwJuSHrp9/+k0u
vQSXqzoMPcjIYDg5QP8DubT+fSz203ls83MoE2WdUx6e3x8e6nUYjIhzBzjaenkVC0h3gKgrMYdw
raRtzsTpgdulc3k2dPgXjpHVLmkOFrsvrMqtNBScM1icSQ+FygDHlxhiy2swcKwqRVX8WccVnC/B
V3SorKz0vlzXgTOs6gUQnEAKJjAMqN5oR/gerEeH1QIlfuGbYPpdC9Iw1Vm4bWAPd/H4FLDnZwFS
XZoSnZgpxc5WkcOPAnLxqMkHLK8n4guQdSxwY7lJFLSqjMEryMcZZIdpQSFzlB5IsH4JOnXfmVVL
IFl/kQfSONgrsRoSLBfwAb+bgPq23YJbbgg/851y/DRL89OyncTDCdt7LZRmZ9SeC7Us9lVPmAiP
3Td1iO6iBe3Mr/nhFPltiura1oYlTsAsy+uIL2RNHbhJYV1sDOBFGBv9sMQAGCCAm43808yU9biA
jsqs2uigj9C13gszDbeI+myMMwbpY4LlQhJL5rqXxlsrEhoqPvUag1UaFr4SmK0SpR6ndrHQl3h0
bDLSNzSzeyVui7yhhdTUg2yaF3aTLU9Xm5AL+zy2oOOqbpzRjNGfODeRVH3NfbTAWIZk3SY9+XTj
Iqaes3GTxzH0ljhxdlU9RXdaqj5iYQS7vAhoVDty5zDVXmbZcit2GU7/0JtZeMKcVO1nVg6EJ0np
lrk6shz5XiEbm47PhrlOSLqbyvF1CU/HjdvbrrY8hrWQjMXKrEbPKMmGlKTyHCYBZ3iL1caUHwha
BP6eACvvmVJl5l7vC95icIpBMj5VRvzN0vKbQEpgySh1jacdcYol9W86kjEcMdqLpGavzDqAe4XW
Bo1XCVom2apyeGHX3npjP/uSioSsnm1/KlJvTNB/ZemNGVgEdKIIIegDHUzxJWelvSYT0XRNxCSr
KoU7MkjJh2JKz4aKOiga7zMyM6ZBejCk6LWjd2Fi47h1Lx3qsTnJWvA4FslhEjlXK1CvYY65KWqC
B4IhD0RbsCVRQ91HUI1t1XZOhaq/BJZ4ZDw+o+TLEvjZzDcIAnxvdedeNMkprBpfDRbUvDXcCkW/
1yb+lhxWTdMqO1DCK4J29iFlQG+KQyUZ7+HUXZfZUVgYmPaN2yiet1qTu5UMoCRtp2ejt+1NEiIL
TWPsahxzCOVqCejB4iwOCDdcDXHz3LT5XnOGY6qpO/SQV9SKNu9HoK1qTeyqxlgiSxcegJTdY5p/
JwMTh22aNWxe7M2SlrXGBmuvgw4YCqTP3GeduZ11sjGSKk+IoKtWYwsGXGVdupy4nFLEtKT6cC57
xkEq4F+/H6a7UEYApeAOk3kLOJPutMk8Jr3zYZhY9irLfFRN/ajpdbLSekzew1RBgVyOuCaaWbDK
F9Up/MyKElddnsgthAZK62ybkzmvZAj4wrwzVyb3Wz+HF0XW360cg16o2kcWxfgqQknyGabeK6T+
QCdIFcLjrHeVZMK1UmSQUsxqPWlo/vNY1dkaTn6Kkbjp5uCS1DPyxkZ5KOKhAFRnxR9VJJ1MUtDW
kHMhu8VPIhpuGyfaYkT5mplHrLsCxntUyRAT6or4kdaQsFK2c/6Ug6IIj7MaTm5nIrFE8XIw7ObB
WbjezUL4Jj/2lUwUB9XAoMFZnp8Dslxca2jfzU6qV3PfnPU4O0WgwzUQ4iMocWVhimtFs89mdZ2G
On6MzrgDIX5kxQ6IdCGSJ9gQbBDlMvoSmA5Qyw0RyIxV+gcNoDkV+Z4cwmsyQGFKARHy28zPSGWP
bT1dc0PcVSI5cz/wJoBLz8Gmzwbgz25hPQxU8/3CVh+d7lIAW1fQpJJnetDl8bFQobPqxtkEzl45
oKxs/mNcuO1WZjIjW1juRC+peOnhuxcytTpnrCfialuAgG8WFryVtxw7Joy8hRNvLMR4sPGw46tk
Ny80eSkle/A7X34hzcMDUXe4+GNsHnDoy4VIn8oNLlq0Km44MrNduPXfi5H/VmVLwNffV2U+1v+/
apGX7/q9JANeaaK+YjmCqVrWqdZ+X7TIC/GN2JPf9Vm/l2TWv9Fr4cGmlmaX8r1a+60kMwCmE6Vh
GRaA4gUU95+UZNafDdqOahoOEjJLMRizaEsL/cOqJc1he9C5WicMqvuwq4fi2Al1MldJPlQVeaEI
1Te2aFvSX/NwvJYIzCevdArgEF0SvYxaeyHwdPKitkhXous30GA9hqKMieVCRd2QmTSgyTsalJgP
qhGvJwmFSEEWIfwehMeZ9FIiPYVW8yT6UknvOnAxF0giW0egN7WQ7mZ8kkM5lk5pUNjCRXsMGUUK
X6aqi86oLGPzHGWTdTYKm8m3jolZc+FpdaVnBLlcPJiWRMIp55RYt6MSdLe11EbxtedBjKA0FU+p
6kSQs9JySwhRMvEIbo7Es+5Fb9wboT6BWyiu8pw99DrAiTKqPlCjA7CMekDF0OGbLuE8096jJaay
kfST2atP5jhee5rwlUZBKA2SJ+UcAWHMykGvKsWzJ6G4bYGEGe3PkxpoNkP79FUNjUtqo8dNCI6f
pPib6lgPea9/yjo67zbnTTHs7s7S6CQJjK63gp9Pt1ylr5NGrmYq4q1M3+7Vy94jz+yHOlNUvyyg
0BVEILtjom4juJ7FMDReLmKUV2gOjDyyYILg1Wvh1WFcrEnTlae9Vql3AalcK5I5APTq6rZMmfqr
NgJtZxrV3TQobGx6+ZtcIqDv25x4YSNYp1a7yQvnLYxKpicWbS7W9NgGPKLNzsUK4G8QfO+PgfTN
cGY/k8cd8NBTiI7cBT3kVc1sbvNiwQ0H1Rcjj8Y1Y5EyJMg/ROSMUI+LZ27pDg/xYG3NpfTn9rrT
FQRCnV2eOiORqBsxXTnstLD5uWGk3AeVxACRJ6orj42xAiYEAo+HboTcokdJgi+x23dcwa7tfbj0
8WY0MIaZcl2u5wKp+jDdjrXxpLTdib7/IekI7Ivl9pqH0X1EfKpXyf1GCU2JWDesnUPU3E9W8AA7
5W6ukfUIBTQ0A5jQdeJ4QvEenPtg3k5ZIIHMlj6aWoo8Wa/SzWTwkJoVBwV5Dx47NFoQ2oyXSIud
92Vl3SYE/vqljSSt6gttlQ9Zh6tA3Bip8g2+P7MaG1psGx/NpIKsLVsHiPjKRnZIAJ3gIyh8ADxd
Sd4auRL+5HS3TqM/DxJGEz7qg8u8DDFAr33lU4+quCrv+7ladb0FFwBiv2WNDKyKEhpNOjyqYi62
ks7dGSwlXZvFeBHUmYej9WwI46KyUNoNJSqYrFF3tImaBzzzJhpgL5k6Gzs513Vf1MltHJoIpNL7
PBtOpCdKbOAswpKwD8W5c1bDovbNjH5CVII1YTNObl2YD8wyhpXcyF+BqqO0zj5w6+5ww/KcD5nA
BJL6qbfStU0sZ5Xn+TUXnbpWHaIYpk4hIS5/KSf9YEjltFgqCKzV95Y+mndaYlcWgAb0RFNUMzNB
RqgawFYlzDe9UR/NxbYx499gbPjeaOpLbTva1lksHhVej3kxfdhdZHt6AzvJXCwh2I4+iDNpd7LF
kLHoUE5Wcrad5BKZ6mIqgYr1Wpn6pctJMxZkmPpKHwiv6dnnJRX4wyKWTwNo2TUrts9hnhyvMKgs
FzPLsNha0sXgMixWF6evoR/IdGwgkj7Yc+K3WawxciCMU7zYZYa2Htk/k+Kn4aURi6lmsq1ureCz
SRfDDbJ1bDuIoGIjQQmVRBW6P7Gb8Onki2EnX6w76mLiGTXu1qpJPszF4FMFybw28PyEuraYf7AB
lfiB0kiNvQjupG/bNH6ch/OmwD/UoGgrEN2FItiUi8EIG65JllDsEBojkLd3ueOPiyWJJie4Iyau
8vGm7gjCvkmQBPrdYmWiTyZkCrM2gz+MTlHff0vJVvIBamp7lYzLlVHNYM0xiG2jopgfZ5FzbcSE
6n+xUkkU925I3rRr4LPSctgXimKDWjDI8MWLFeDJkuI5J0Ga/iZI5zuCbz14agjKLPNmbun0osXc
Rf1/rvrooVDZAqNhwzykUYf12E5WidZ9mDXZAPliGBsX69ikAO+31RmTdxaduxjxA7RGL10sZxXe
M5ApN6RSeWAfzsNiTtOSGuoqMwqiyJuTg4PNLvL3rA0YSFi49czF5pbhdys1e1oHiwUuROToyrji
lD59K1MJP2p8SYmgWqHMNtd41bGX6NVnBpEizGXd7xa7XbMY73rgXJ7I5JdqMeUNuPMCpy99aGGD
J+omWJV4+AobPksyJuG1jjKSpIIXxs+0Lnx0yZX/gmb2YmhYfaPuVH1fTXf5R2CozppI89R18BGi
ekJ4sVgLVTyGswxCFtHcUQHgD68uPWQNlYjOM9VYLIrESHyOdgu8KLixFxOjjJsRkIjj1ankJkbx
lON3HAtYj+ZigWxIXOeC7mvcDUaWf5NwO4iR9tFkglLU0hbH3idKDL9dDBItEextxb8KvBNyIt/M
4SFP6FWwVVRt+ub0yTu5zUtmowz2ydrBo1vuGnwZLQaNuRV0bimXZ/FuJIx+xsXNgZ+XthiDB0YQ
zUWTcomTkC/mAB8whMRNhnd58Ygoi1uEyu2VCmwXj2TNLH4SDWPJvDhMeqwmJpaTwBFPisYPX7wo
IkgO6eJO0fKO6FnixfARw8SsT7KVn5ciRtF44DlFuDEWr8tka9B/48dmccFUix9GwhhTxc4NkTNI
WrDM9BJ0FSsxELpjpwFqRV+qJggFBQSDxXNDKkHoQ+Jj9rM4crSGkcTi0SFPHaQOdadrY+CRFidP
oTc7C2uPwOITLV6fUNiAVJNNiXEQ25lqbxoCW5XxxsYmFC1+IQIN8hWapE2CfxwrG4WMNr9rmIxM
Eb7bmI70xX0kBXLExarfiCdbEtoFWeKVPDQHPj4P4cRYjf7tyu6HZNyF/9qs7a0WktUK/m/oUhxx
WnVXmE1OSFhBXOj/sHdmvY1jW5b+K416Z4LzAHT3A0lRkiVLnqcXwmGHOc8zf31/jLyZaSsi7U5U
1UMBF7i4yMhImxrIfc7Ze61vrSJVk4T7sC8K0SEVrqnPEGAMmOCjoTd7Dyu/MF1OfDu5qEWCq/qM
8oPZGCLXtJKzgoQ2e0wQ73LmXM9WwIG+wKHJqMXNE2HwIrVw1Qy2q99DZzaleZWbOOr6KZAIO49v
lTq/HlQdXo8CgC2u79XI0OyMjZfgR61nadY2NNRncoIuxsiCx2Is/IGozRz2XQ3WPZXkjGEhAtMY
YTlBrJyILGwNSxrf3/LdsTcHHkt8Rbivaojtaam6Y2sc+jY6Wp2xB3ppYYiPnyULB6al7ok5YndT
lN9YW4A+pgxFchM9eASuuBO/Mz3K13OMgXbqzY3adxeVPhN6FEKu4Shhs68ZXGxUr/WQMZcKBSSm
uNOqRt+rVXolY5fLW4T3WlYMG+ou4wU0K9gLHdAzzQYpNDFoMhdk/OAkatrYDT554m+x/5bk1srs
doHHPiVV5KjhMcHMF2uTTTj8VqsBDVpmfxCIqaBF2R4zDY/TBIMYYIQzTHiNA/GgAaBI8/6gyked
Vh1x8m5dC8FZLxb3yRBs2zB6bI32trQKNBuzuCIUfdSNayQqDvvew1TJT1FJgFEjUBmzYIsced7G
XfrEC7wNl6O9wV5wFWIT21EVnlSQs/fZ3AckvsW7MUwKt4EIQd7GjPxykhdp8EPZi4hIksthyJ+T
0iS3rmm5E6zHVCv2kRLeZwM90H8f6NlRMnhAB/H3B/rfsTT2c/3t+Vf+/+WH/zzXL/5/xBnIEyG2
M2H+cK7XOZwzT9FkhhwqU/E/Ri3abxJHegtivGX+qxvwx7ke95cu6/i4GJkvY5h/dK5fdNQfBi2k
IaHKMZnM4tpiAv/xVK+EkkB4S6Yewuxpbg7j+PjuY/mFchJUzk9XoHHBWB1WATTdn5STnd+oLWF9
3aGbtZUsl29TqR5SP77S6vYNGghTmTpyM5X5jiTkWwI5NnUVwyOkEuiCzryRpzs36o3QiDdxF3pq
U74KKRm98gKQJAoZxwPJHGF6hMmlkVLctxXGlazByrlYVgM+REeDezN5SjHNZCGJ2nYMG/9t0EBk
KFmou4gxDVelZfhayUuyDpuwlcrk2K7FQHiIyTt1rUR9gfadea1kBI6ahNWCSvsxzDjipBVWqVk/
WHWgrBgwsUaq6gADhYO7IhetJ2FYs6c6RwEaPQG73hNS5VpWNu3JWq82aV5s8rydXeDTN76WrsGy
nZshE+R5zp8EcaDzr47QzYVjO4IsI3Rx9jrVdHHsXxsxJUgstwqKwkQUNnnZnbUYwQirmy7HxDyL
55F2wlwjT2WcbhjPvtQPdKLjTQCTrUui55ZwU/gGRNJp5iYN4qMw8+OkR4RARZokOKPOb7JK26t5
BVpM7s9TZXb1TCHUotroE3icQrXuYlzUeJbTi9qHtdvMdH4iNoKV3CKwj89UQb1pUylZqHEEKs/q
Ncg8AOjNCH/SjLYTthtbi/HY+LG+xkbVkEeLuFO1VgDPHb6LBbHV9h7BTmdowx1L7e/VQuHgox30
BpdMOx+TSL0KM58WrJ+tDbU/D4d6W0zDNhhjlmlElJk1gEIZ9qGcXusS6q82Tu9Zue+g4d4z9/aK
GsDcrHnCWD/RLmDS1lprQWkeC948k+5xLUzza5Iaq8kIndqHwpSMe3q/pt1VQWmDnuGXmnBGVcO3
A9144ikASRA/Bj4bv7EBNSt0HbdN9TYV8cZcmkJK+bS4vgVBvG4wetuJH7v9aDmiln6bE/8yAQxK
6miwT+I6oW/AqqUKxk2IAqPi9OAEUUASSJZ9syQkyUIZ9isT59q5uTj9okiHFlOyDGr6dWypD13Z
BIyMajQG5fL0xMO1KMU7Mh9MhhIARjWGPbYgaVejCaWwmzDNMGUAb67DBLTSkn23SkLV0OiHgLAv
aET6HTKfAH+gb36rrZYtHTZlXM+l3vF8k8xLZ3ASIMbFUR8Bq470fVXqRPHyUeCFK4EBCkTwxWkR
unS+axLhBXHVzmpj562PSNZcJCpZBzZO12wznGS7reodo9BjqZYNcFVMkJKCXlOSq2ZDpzVeBVG3
16WA7UxS5mtpxmA+zhZKTRlXtZqWq6JdUnuJID8aZLIA34I5T1xy4Ph++aLN013tK89GQqSgIp3H
7IQdC6aJO6XC3k8IuZVSelqJro1OmxbZNSQNgUeVptV9l+RXQw+7FY7LUWU+SmVxOFe4KJ3Idy7z
nVEZFEQ2VJKxcFwxPJacKKlRZwHmt1SpSPQl7HFu92ksrEMNGkIq3id1zwhIPBssevv5mDypsU92
ADDWwfT1ndSKNFbYBH5juiw787wE76jVkN0kUjZ4mJcQiBYRXGk6KaE5J3heo/p8NpODIpckTzSX
UqVDI0Exi5g6t+dBcyl5W1nyu1VAtPE2nfpbXShvMpnDBflGqUsKUriaBo7d1JwO+qFeIDxdOoiR
8AZ/SYQ2zdycy6luTbviSHB6TZskMfpNH4f9OlezaU3pBzBWcQW5S29y8j1cBJbWWTfV8VkaB4cc
XSl0LcXcghsPbbUwbrSq4KClxnTeMplu8aT6Phip6kb3pxsz1+ZFwUsnqSsaT+sCyTaG0WsnU1iz
6c/XxVTBvuAHbRDd3UMdpaa3ZIBxio9g5wKlbNmgkjmfDKWnmFntTlnxqPflNh8ibzQIgGiKozgZ
Z0k13YphvOqjhE1aGd52qQwDs7LIP4D0Xghx7RZ+iv6giwfmlOKjQqqRq4xq9dDpNHnLAgNNEnKj
G0CfMWYqD/IyKvJlbSRGWLDQxIpfGRtOFKRLniouK7YaEPDQ5+knTX05y6DWBXF+aOkXEVS31fTh
cqgb7/NdgPzr6xBnw6wC1MipfQK4zAwGNMwPWZouqSa3VKULM8ueKJc1vlqLL2BKN/1YeqmZbBo5
pN+HBk3Od1SqveY3dmwll6HfXemoyZSwc+C8wpjwvxedjvicR0CdzYMuBs+fv/RfvnL0woakqhoD
msUY8m7soWVdQcBnkh8GlFLBdCPGmRMW+88vYi16lr+2YT8IhBYuGpx1fEIaN/rHqzQd8BoOef2h
DELyP3R1qxQUBpHcdBTlPZowoX8QyrS4zC3uQTARxLcs2VklhUqhYRxnGOTm7rILFes6Z1UC5XqA
7ZTylAws5TLjBq0IDhGI0NFH+jHIPDd6huRiWnh4mpQ+J7QXpTSI1vNQAX2R9FWIPXmVtMqLUMue
Bg0esVrFsU21JKeoFAj1HIxYitjahPq2muXvkYqQnQNotwxxRiM9n+DS0QCeAKxLQ3wuhigu5hG+
SCCBpgsthApSFNz5nZTdVAMxL5YU7LWMXPlGL1tkgAOMapY4JJH2FDOMLkX5qIn4S8YZn7ikpHtf
fO6IrdSMLXXx0RTwpxqDtJli9ZG4nnCVl/nMUBRPBcG2s8rWg8zcxMU9XbijkG1QW3BilsYzJvLP
CYGdL1hL1iJtN6av4blczHhmm8qLlAYqkDxeZbqeHiww9pI+j7vKaM4/vx2kX94PPJBIUsEuS9aS
V/H+rvMVocj5u/aAxPxZsZrMRdmfHnTUkpj6w6egQe4Ig86RdDqyEXoEKuo5nwou6TAxNoStn7fM
6odZPtcK80FR89BrMq0ClyUym9BkBAFYz+Ec94sCVSVik0XdZeaAw6gW2I9QiMSsIG1Bq66DLBod
KWwKVoOusdtyORvTXM/ml5rEMwxTGvSugtTMTL7V5Ym98xS4sBBdnXBkp9aA19eD/hCb+nbw5Vfd
GBcfOWUADq6ejze+Fe8NeLVVoVzTs+UOoWU+yddajzYjDq+rSLvKDGutT+2DSc+C+WAhrvSqYy9Y
9aumG6AbaoD+lBh+PjF5LoKWZ4F7wikt5VFShAcp7Cu3arFMhIaI90Qgq3gsmKjVa1GMt+S1ruTC
IH6pd9WEOGbTHHZGHfOR9A3LPDjbtL1RhvJgmeO2KaZnZRBfKqV+zg2QPhOvs8vdpE+OBTwJI9e9
oVBpXhPXHOWGI1vRZVIKyXYyZzQR00pPYXiVbGjwQXEu4WHsBeuSIOg3GIEL6kd0VKCebcskSG9C
kvpaupj6Xm+UdaRUfEsSUXm4fJ1h2aHCttwLEsM0abiHybTAty40jCkM1QA8CbuMVTwcgo0ppY99
2XgVUz1rqzIjklg1U3/w8NKt8jorMTVXsZsmxCThfZ/RJBkW9IRBwr3SiBTdGf1cLJl0jcwLGlKb
IG93wVDtc1Nj19umwjEtoU5PqXGmBsh1GBDSm2eOphBH5QyERoTlcC40nBJSpsdEVhTYxch7xcaw
MhgWDuYBpobOxErdENl8X4rApjLxXAe2syIDZR+HAzZs3yeqVUbA1gBCdYzYz9dDD7WXfcOmmFpi
kXRjU/fsQoxicY/62FT9WvpiaftV5X73pCrL8ffd+iCH1hRbZdId0MExIDlnzuGMfYar75jU5xIn
ls9rw4ndYWHV0rP7szIoJ0ZEGREipwsqQ1F8l4zXfrxawNjBw6BuPr8Q1Jef1yRd1eDFoz0woE1/
fGdD0/ZVTCrrYZaQBgLAaJaW9I3WBMU2LACPEdKyK8tIxHAnSufmQnvW4wKt4NLxGvi9TiMJb6po
Xo65gqxK6e6Itj0WonGdsn3j1AMrRF6aYvDS28DL2ugpx0kuhGl5FXS0+bQwbNcwEnZaDFlBkVaT
JA4OW7x13irGvSVb1+UMDknRzjql3UaKvEP2udVK60gi465m2QYjtUtksOEYr6BEO7Cx77OyXkWp
vx1KUhhSOCmtlsEAhHOVDsFjNVr1vbyQ4OVGCb74VD/2W35f6N9/qCdGA9iheVT75ngwx6dw/jaZ
v6fN/q0l6Kvff7JwiELKHjlIpkNkXpcxsj3l9ovb4vO74gdO8t39nulZIiZIsw6afBHhLeNjEsPp
dyfN376L5VM43Q4xz0KaLOmSZuont95oNOALVd4F0j2iM9ohY09yS5LLF9+G/PEex/cBPwnrqcQD
ZbE1lU4uNIEJHIK5hJ9uSy8sau5N6hEOuOrtyLm3c/t+qzv9/tsV8Zp34+o5XU3feKKbzVfONHnp
s52+43eP9Y8X+u5jtfrIKq2AMkLiqSs64mq87tbZZehZK4s5uCet+Zw9ycGdYYcryy37lXrIX774
bn/1Kt7fnUvxefcqUr+BJV/zuT+MW3kFrNezLgz7iLc1dNf3mrPX3WxtHUJv3OTX2uaGceZ63FD3
7HldWDa8QBu8sgvWfpOvm2Noo3kO3Du8Jgcywtfa1toWu2FT32be9ecvfXGU//QBvn/pJztoQW6i
tCQW56DZiGO95juRdjeSWzmx67uhG61yLzsr1hcv+1W3ZSo4OvFZbFtnqE8dFh/Igfar79x9/qrk
j83Pnx53/WR1gCXS1/DupkO4tezQmTfZ2r9BVpgQ0WXrNrBjZ7JJ9z5UG/mJRtrq8+svt+/pXfX+
OTqpNpQaYWrKaTyIc7EyhmFHihBqABhRn19nqSqfXeek6pgRQvJ+TkmjZ37VDy/iuBn0b5OyqrBY
CqX3+dV+/VX/WR1OD5MCWh9Fq+LuEBoJJ7+rMrj8z13g5MyH6j/VdSYuh0TbyTF9QMtwP7/CF1+M
sTyI7x40ISvN3AC8fiigBRFrWcoPM2ryzy/y1ed0UtwaKW3iHjPwYVy+FfiS1vivMMK/LdRfvY+T
G6wr5qbLm2w6DP3oRPohS0ZwlBefv48v7i7jpCrpfiBMNOdYDUaU4BYy1bQ9KgppcUDK4kEG+P6v
sdY/e18a4klp4eVZixjz/feDW1Hxy6jtDipihNhLlJAm3/rzt/XLr+fdNU4emjRg+kdExXjQYpX+
/WWWfdFV+OoCJyURdugI56zqDyJFm2Z0oqRf3GE/1sfPHvyT+5j0NYI/U+5jzgZ25TAB3STnHBGc
s9oJV8GROKvd55/aYjL6tNYs7/rdoyPR/5NaOWSNeqAxnFNVCZa1MU08S/t529sXM9AGlm5thX7J
Ni8F+6pdLav6xWN1oZxxaidbZDW19gbbwvqrl/fLhfx9yT29c6Ka7DOfh046Lgu5YBM8rm5zybGT
tere5/YZnN3dm/iNw1l9O+2gyn1RvSCofP4JnXzvvdDoYQWF5NC6EItdWD0ygUK71L2yDvpeWXfu
o+z5dk7H1qvX5Rpe1hcV+quXYJyse+DNBDUfyvYg7Aob3ddsx6+aJ7nGrvs+bspVtjfW4LbeyHBx
xnVyDNz4+xf3ya+X3r9WiZP7JOmVjOAjbs3aGz1Yi3a07Oq2iXPTb8ftFjWbPR8Y3t+LHoRZr1wb
F2gv3G4VbvElPP3LHP63FeXHweynR+Wvx/0UPmAK6Os4KneHakUiL0FR7ujN3ryPdpL9QlaFlzjm
lrAmG0qUY9yuEOzwFbXrxLuOsLGj41/9+IT+rcVXWIU+Hd3/L4+uzEvUvPzCJbn88B+je1kmH0Yy
TFXUjMULyYP0pyRf+Q2+g0leLIkzH12SBsFoP1hBf/3UH6N74zd6+mj8sa1bEoanf+aS/PCYL551
E2skgQLa8ksXy+WHQqilEJhiv56Pc3tfmT4IwfaL8r78hne3rCbyW0X8CLoK54lLnDxCc+njaSsV
TNSjwCTc09LIbrRX6HXvvoCL33/je9jbyUL103VONiqFIJVVDRHmqBFSItX7wXj9/AKn84efrnBS
lQOpIiWOGCmYOYbdq7eG9QYI3LEEBEw9WGrRafrHstt00UVb+LYUfY9DLwgu5AL3+3UwkOdS7XT8
jUR1kmBz2cXXA/y/0cq++CgWeO+nn/nJrkCJBL8ltYPPQiEoHhdjed9hVmMacBz8yPZ9MM7Tm4EW
uuIfkbU5n39UP6Ahp186OlVNF/n6NQZsH2+rHJgclANjOuKrpF8nWXW6T1RZYYRfqlW50Kbybhtj
yKtBm2jdcCWlSEuHHCViLwoz3V4k33JJMx0t8DKnbLt6nWYPcqac4aZCYCULsXQ7KhmEl8RiaO6b
jHLieFUz+iu7yZb7Ct7TBISHCMz52OvRKgsojJWAAXBe16N1kckX5Nl6fvfQ+KkdNDdNYJ7DTAJ6
jmyN9F0ZoaZCW9qgeT8hpku0m6KkbaqTuDtXiNxRyHVStzfEbLV0K6uHBhnFJBBeM+RMUdXLOD6P
x2zd46O9zbTULhV6x4V106q6q8aaHffMH7QoUF01qmD2mxmI+SR9bGmNZRmh8xZjKxen2Rfbuh8t
xb++oZ8efPXkcRkiiwjXsZmP4lrZ+Nt5394ra3NbH+lT79sN/fYV8Q4Oche2YWdYEt3xUdgmXrsW
1zpwlviLccXy8Pz1ejA6n5SJk02gmqadkS23bJFskX2gGqnZkHmV+EU5Otn5/XSdk4KHjwbWUsh1
oP6mN+NrFThR5xCMo/tfPAQnoqXf39L7h+CkywrrNa0VK5KPoeLEFwlosNGpA3toVrHlBEc05p8/
db+qgBKgNcDuoLPpSn186OiqjYaRKvJxgMlEcHAvfHGGWn7B6Xf0/gInnx1SVSPvA1k+Nr3bMTsa
BKdhBvP5u/jqIidV1hotnYAMLmL1u7nCxX4j60+fX+JXS9L793FSHifW6rpmfHVcRk5jOtiifmXF
B4tG048L/Vfvjs4jJlxN8db+7+U3vxRIQUmlaf/vxz82v/8Zurn73D5/+ANS1aidLrvv9XT1vWGG
9Ac3Yfkv/3//8l/ReDdT+f3//MfzKwFt+EzaOnppZXYzP67wV2zewm39++3ROv2e57/+oT+3RRLZ
eDp6RbJard89h39ui+TfaKWq/A8uo4zm8S9FI8QJCoX1Jz2Cv/pjW2SBhJT5XfwfkwIAPP/EqSjp
Hx8m6iM6gx9xezL5Sery6z5sjPKpMeSxM62jnNWojTRpLtf1j3hQRchDmalC1vhPuLHrS+VHmGi2
5IrOzFH02NrXuZUghE++JViol0ygXmY2MakqntlSScclSnXe5iPynK63LjHgvRGhEDnEeSL0l9cC
ectBE+HCqtYiOcwmecxjKWyEKP2GWlFhUlXsg3i4TJYIZ72tXZxsG0OUNyJGPltBMUQMuIDTl4ap
ZB1kvB2RDGMXkVvqIQHZTFJP6LIgfYtJkR6rXtvWpvFQki8918MLSu9zwl1TNAMEpT5ajDBbyNk2
OAPuQdNNlsDq2CK6mkjL6jhj+4Y8lztyL20qcq77JfB6WKKvE0WogSQTh03Z4t3mjM+bYr7HC3lu
zgRoU6xkFlxCtWXMjqFKZL3SBV69BG9LNTzymCxuk0xu6BsQ+ZeYbom87ozc7i6O8TMVx3EJ9BYy
X/OyJeQ7F/PtsMR+W1GDvwWInysOC/B4iQdH0qYwncwyRyc7vCRDPNOSbRMwyySC83XKIAaJS+B4
XfhgIxhOKMH0zMYPeJIkvbWycCaRVo7edY/klBSqJci8b5ZI84Fw82KJOZ+WwPOR5HNUjN8zIR8e
+D53rfY0Z/q5GjUwmlN4tPGZqPvXwxKlXpMy3DBGtSomsHLeIdBHAgTBPkXIpttILq2KDhzqhLQx
VbTsfbiOTBPyIcnD1rlMYumZkRT9WkbVveVzKcWVKkblOvRN69onRJwBwCSh4KwKjI69NqlrwARq
6qbdGKylaWG+k5wk78kY7Mjh0U1o6In48N9SD//nRWsvvb2/L4fXBYGFzz/Xw+Wn/qyHBIwSnkHR
wYqNCfvjMVFTiHDTl+PTIu75qx6aFFFZBVOJsoiN6PIL/6iHwM0MFNPL6U42MXH/o3oIDvDntZ+h
sSpzkjMVbOQn+7MkB3CdYEs6klIHkElb2EzKQmmq8f33KnBYMfOTDQcPkO6Sdee3RNn6dYgIVDO+
tVl6TYqOZaMjd7u2FYl+ib4hzdw2fbVPhHgJca4JayN0A+xsS7NUehoMbs0GgPcuq6otRjv0htER
T/E2g4VGIpMt1c0SrIU2oJ9msiAac5OTRD0PgmsordsOeuEUwnyR6J2/iPGuOIE8WmgjHC3JL6dE
kFDZCTdCGNX499g1VREuIQSQpG2k0fQ0BAuWXIuvmpp6V5PwIGXaLhMxK8dzvp6w/5yLpbqQQ9BZ
Sepu1krySbud2fivpTXsIvYu2NuTS+IhMMTl/jlCC2RLsvDI+WxFmL30TGopvhHQqnNT31GkXwMD
IQfssQq3eno7GsIryEneSGphtDTPpzSAosp78MXkHFjncxOjS+z9JFoNE5acUK60da75JJfiUanN
7BbW3BF1yxPcbZAThrwfzWrdqmQ4WFmWI9+BLQJlpvK1Y4JnEVHGvOkGiWnbjBxbt7xu0HCIhGux
NXunMePLHLue0+c4p5p5PzQmo3q/fIhCDVuZXMUwVcGtN5NhJ0n7oM3DboDYZbdN9laY9Tk06GAf
JgSlYmFmaq+jACaCio7spvHBujRVcCOn9VYsQ1KsjdY6G/SuXMl6+JoHxnXgT+suGcZVVmRnUyGj
wlWE76Na7mYduFLc3vPvNnmBQE3tTXNVyGjAw7i9wF6U7q0xu9H3OP8xqxqZq/M8uaHik+jWNW+Z
VG1io17rUNywHteBx38I/KZalQUqVTHpydoTmmsWz3WsJY/qJK2xW1GoTW33w+zbFih28jzjdB+S
+t0kntoyNcGutJpClLkI+Ewnmevz0sJTFGeLQmBS1nJQ7BJN9VJr8T4D+FOT4SwOUTeENd1Hi89e
9Xctib42YRjG9ALTuL7HzKu4IflrJgHYuXEll0wiIOCAK7gUS6u6QkGVpWsJDkeriF4CpQntmf+W
BON3XwMgHRYpy2VlnBn5eNfo9bc26Sq7LIpLOHBrIUwuJVJ3TTMDK6AzMB4NtDZG70apCDwZAQnS
OZU3V5LBauC1H+MNMhl1FfoqqJrUmJ0YbLJTRplLRpan6NPzqMtuRQyISTK6aE23fNHIOGISciJh
n1fhOkyEbb4ErkOPCeIUabe/ifFdJGaO5dfElqfOcALae8DAGOnRiMkoffrMBKkboQCLqgSLuAyV
1VgPlm5nZcYXctfW8XoaO68zB6yP3ZYeSWAnuYEYtyHJwnrICAOymzrc9yW467mKsP9memfPCWs7
BEaltV6aQeUhQHQ84tZMAA4q5XSOxGo71AoHdkAOO3kY+G4XCzidoKYmC7A/EmPrNrF6I0YBqKip
ZmNg6Ngk8pVK7B37DZLSRsnypES81jr/O9pp7s4+27ZWYDoNAmeQTaMjVNpGVXBWkkm4C0tsnpFm
2mbUO6HanQ9GvsOvDPOIWDY1MNEtdrBvzE237GYmcW0Z3UWk9/eiXG59FXEUHZpVEqfUvzEnnlIv
rhQEsU4010dVJKUoiDcpBbCM+oOvzzcV42ZcGAuf4Yx0JFuvtCUbZnLnWfZ0vV4pgrQtCg6HDSxq
qrCCc7DdiTmh8VDM4DeQW1uK31AIoLqXuyclMqEN4PrZ4oa5AMBql0FwKc3m3jLhSs2zEMFKG9gm
wTMuiONF3x+v8LdaWyXQujUHtgslFbwknS5ky3xT5NnLEZ81ertqalPwoqjKnUFoySUpL1rDvB0j
TA6ZpgHbzjSCW2I5fUgUf8IC07/FTbcLR/Eu7XJowsU+tJreJu8FDoHsylH9pgVItTupPIQj04B4
vk0kGUVsn9xRgVcNOIha8DHziNajoNf3YzXuaPCV0MAzg3Bg02mlcCcDPwtH7RgMwU5tW8q4Om39
ilBgMvqqSd3oTZPc9akwkB8s5JInzO3gmKO5SsVoK2sQG8shm92xCF8BF0Gn7YsR8bz0bJHlJ9XY
adguBECZJG+sge/4SvVmtDAerZaxWoRDtpvGnDye6L6IZfLm5Cs1yQe7L1Q0rc2LZspui2LeEKZj
o4/bWaZ+1fgN7FzLb8dJuMP7e5NGZEANueKSO8WEbBqOfaLPDvrp6zmHm5l2cXdZtzBENKKsN2ou
4hH3e0jzmaT04RcDPfnjkX5pZ6Hx4Xyjww5URHnZI70f6DUVUWIT1P2jdJ3ZD5rXXwBwsjFaPN9c
NefFWbQqnHYT7bU1dqRN4YVnWrCJz/8dOfcfv9N7JfaDf7/B3Wbl9zp6Tn/e4i4/98cWVyJXbkF2
gwz7caznyP3HkV/SmYQwHSEThnXkg4kRpyImRZEMOH6QUQkb4z+2uPJv8GdhCeFAoCPwD+FE6Pk+
bHGRe5OvjGMO4yahyLTQlpbAu6Ew+Z91PgrVdD4qAHOWYkzUQWmQpfAm4qDTSNxqxZaQJwW4ybzB
VZYMpJSOMUE2uppc+Uu6twmRbFNLvTEtIewvgYg/mjTjZ4IbrhM/yS6mBOppNeuyp2hSYGPP5P7U
9bewNAlewg5DKEoTeZAklJXRRPWq1QfGDZmk7Wdsv1shT1smkSA3JmdE1OvEcVAfSqZFhApZezAw
yQ7KV+425TB5REUsYwdE2imhCA4ZDIBtgDAd1H46S7Robxatv8O6lLA7sDAo09FgSZH1lGUEMuRo
kXWrtCPmYKK+HCkxSlZvgpEqE6WyqAqPKSE+pT7mZ0bY3Ug6Nh0/w26Orb10Akr+oY71F5i2TCEK
QwL8Gr/NcfyEdx3CnNpLGWJuw9+Xajzdgmzw3aoOGcYrHGPD+HsbzPIj6We4EwAseb2eVq7RpKDx
OLJWvNzc2oHak1b6IApnajmKew133zoin8EO6k7f14ZxaeJGvAZFvx3C6UYoSaYu1JyV3GSfo8Pe
IFMid2Ap61RFwvxYnRcqwkBjhDPCXgrZ+hlTHWqongO4QaKS7FofmPM6yISJk/NcM3U4hnx3vQxK
6nxCAQ+lKCCfFe0Yv8lyTItlqDQtxg8yx3VtW7aTfCNgUqKo98l8Vve5dYxA8lV2MZv4+y0+BP9o
YfXHap9Yb71kJXsZ6hGa7fla7Ylrcn88tP/V7cr/ecfzZf7099Xr/LmOyqL5xQF9+bk/qxcNRtGg
HWnqnNOJH/iresnib0QLKb8f3D+czxnjiqoEPs1U8UdrzGr/LF7Gb6xUkogtA/e1Iev/aIyrnIz8
WADRCVIHKWGKpdI/OJm4xdgeZWOWw2Mmzqp/Hsq0m0ZJDE1wBHkeXADx1s7mrtKf9FAd6o0l5EC7
wZGQ4TAbzR1HseLasiKNLbvSDRAFcqO9b5QOx95CsFrpYUwgWCTcjTIu5DGYVTxvcuLIo35hmmAJ
wSR2PelK6fSMHPYZkKVqR+OV3pgZPBhxLadZdJQnzkBSoq/GnmBLoT4L9ZiK1GCWDGpYISAsn5MK
d2I1AALpsKDAXWD/Os1sFS3dXIgJeC5yA+tAh/cgII+iH0j5y/QrtcffQfiJmyjG6+SjOTdrrEC9
9Fzl1XWpyE+hGcNT8+vBy/MY84o8Q5uLrMwpetyMKEOvYt3Y92bDnJGCqOfpnvy+XRcmZFf7MMDV
ZqkMdUBWwcB+rpyTq74qbyt1Ls+VusfaskRl1CY0JuAeuMRVPNJ12kROq4yhM+ZBuqdXtJqN8gHc
CYdpiaiaTqy/c/ifVok1piuz6TaI7tYic2GJyOfSMGJSlS2H1MGR0ix74GKoCTGfQeVLgxP0praJ
cv5J7Ud2aVZxl4fJK9m+lybna7NMX6QkvNELOg9tG6t7gGnbqBQuo3LpTGsYvfyMgXVAtQwQrdFp
wP2s6zdqTW2k6fjK4XI3T8pVOZnITkU4X3lOf5Xo8hiC2bjLmfG24tDjE8vXaYQrRlY7QF0S++cq
p4XQpK6uY3bkJLrCkXUNPopoBXoGdiiaHpkx/aFbcEiI8Rjj1uq2TfTsjmPn6NZJdzn3vW5rSnjI
iSoE7QHNK56623qKv/n9QChQWHe2pooe/fN72mEPhh84MlviNEPVNy4vQ+yvhMmEajMfUzolTSR7
ln/BzVqwFHb71Eou5kl/inTCzHOs+149RkQukrlNG2LawRCllazF+0IuXCycvHDBvBeMUED3P0SO
FI++I9RLRmRy0MrsCH9uR/TsRd+YUKX7GoSAoXqCUj3RHObYKt9m/4+9M9tuG0mX7qucF4AX5uHy
kABniqRkWcMNli1LmOcx8fRnQ92uklQue9X/39ZNd1e5ZYgkmMj8ImJHmwYc261d2ZsnEYHMys1u
LzkArPoKN5HffLZj6xvAr2Ntds+qn31uWoujknmIe8ppZKBWBIadhmAMn4MfZ99TZeArNgUgrMe0
c8vcPPHi4cUO4X1VG4Sa5eyk+sq5YtTAjOabJPlLmyaphRUyD8k4W85NcPREh3sra/O70GQck4pU
xVuYp3uJ9j4oCATLfQDeSyvLvg6YCbxWpBel8e9TeGZMBeHaUS2zcezpkObtsVOIRHf6w2BmX1tN
ASjERQf1EpcRoSHQMhBSmlRe67TQaCU7EYp0jx3iEQQfO1+JJHd1NSGbqShATEMwAq22j5Q6v6A+
+s1u7BXoplMO30oFKOA4FeUHsX3XZTmqfpEBUgDjTFwplQmCNPz2QV4UDDN09TwKfSfJkXIV8sVa
8pkblN7hNDN6lFqztca7qcqDa0b/6T5GsF+3vAXekErphhEcB9YS1C3WAT+QF73ZhptW0iQYVCGX
FmzKVlKMw+Lfx/QrLkX55RT9UDT/87958Jw+Nz85Z7wZpSs4pBik6wBDPkJQFfsTT0ebQblmspGd
n6I/YCn6Jzqnyc4yK6cpBPn8z0e1+slybKxWHFuAqcxP8R/66vk/8jjS7N96+P5yypih9BxViYzw
7LfkDyfV2GZKPeTIzR2PAcMiarnWq7s3+5f/XvOtF0r9UDXHWYarcI4BKED2ir4F3p63Z5nKj2jM
moz4qi3iKHULW8bO4iDdLX1NTbxYa+plIVSFrjs7h+4Vxst08vc9NKhrxq6XNIJMbYTRYZDlzpUV
yQB/3dGKq0QESwLsjWq27frwGPXOpuyUgzwNl0aox2oq9mOtnaI62MkxM/qsR8eK5cpZWSJFEuhI
Zkaq850esIEZH4HouEU9QHZ6iUgHgyiltWJBzZIDzZifZ/4NkQ+OqrkbpInowzBabis1iLIOATCo
5QWcizbndKbqX3xC6msrNbRHNQPjKmGWWEdyEhJD7qoy9cjqJ2QbFcCCNrxR2CVgA7cAH1rOWBrZ
b9GIcW1BPkTAs0MemFqp2V8mtTIp11bTdS1NprFWaEKZqiVfftmqlp2RtcIH8WlIJ+r1pCN/P1Oo
iGH73NFbSPnaLvTIRYXA0AMxxK0tO9owOk123ViZ9pnrNdojs0yr2auC3Ygb8LgtrNoYz6GColsF
wtk7tWnt6HEOHjhL63e9FTLrTQWHgTbv9K1dJAbNXuo8vrfD3jeX8tA4t0Vhw6fN9dKTiO26aslG
JGV+vqwCYm69avTEkDvLa3nPD1AAm69NGAAcgBMlRps5ahVtJTVTPHzuUE2BnlxTyr2LZZF6TqE4
1wE9BOBPgJHawglXRZkBMUt0ty/w6lbRHY/x/sBH17tmFU1eTdGH2wAnWozpGO1MAPye1YppTexT
WeaOr1815PbJ41fN2tT6zaAzpQ1HtbkQElc8W8qOUZ4ewRISx6mji14YWzvsyOiY6aaIINcHmnxu
nOEG5ER/S6mw/UKT+aKhks0cRvOliDrXYOqb+JXyWZa6VWC2cEyKxHOkjDkzc/mRaTLZ8e9N0z6T
gHkWsfhSEQuutX6HgrBiAeHoPq31UT4Ku3c1h2eOoR4mirrZyH6Tje5YZdIqHRRPq5FhOvGErMvj
6MmXO8UdzFRbjxaA7sToHwwz+pZOpu6ZTdLs2n4IaIKcDmpGdV2gHs2yc4cueSj5+JpWY/dlW57f
myvA65tOnh5Gv/GCjGaESq4WGkRUGOi5vMW1ELuKCF2ai868xmuj49A+RlPgkh+EbNjL0THUma5C
6Lm0ad4cyQ7vA3XkZgZTmlYj2z3f4i7LxN7hSyQTblaBB4ywVO1SO+hjccd8cpkAFmSzfsmr8mDx
zz1YpazrL6ET7VIV6cZnEBgE7AtFQlwyHEhC10XBnl++SqTksUiUxzLJdlGT7IsU2FCnXKZBcVMw
kAW0B0OPl1Vaif1kWRsSWigGQE0rQuqdY7hOzSycmSybgGFnF5OAIpDnO7C83zPhW0Q289QVAaR6
Y9SSdeWUa8gE0vUkpGr165X3J1Mk0grUU2H/mh26/Pf7lTcUClsMM4XxViWq16eO8KxeJG4GMPfQ
ZtrgWj1bvCLMmKpNz7hWm0tVJfJnmyPOohjH666OD/Lou4lj3clju65C8yWnEcgtS7LLlELQ4SEw
nE/c06mPrdM3miXcIPC4Va+6lt1uAAl+A67cLdn3fFGZbHm90sLwl1EbUkbiFcatrVImpPNIPCtx
vVZpE0jVYt1knJ3S7Kaz4l0HZHNq0l3V4QsoC8Q+1Vm3g4AbJ6KNOoYGjlfOTT4AulCP1wHPJbeR
m2tddMqyDM2dHDp8r7VAPvitQot4Pd4C7tEXjtlV3AvqSY9okqxMk1lWlBz7croKm3ibDMbaoNoc
nana+jnNEZ0NzBSJZ0VVhmcE5SEN4JlauXqK0mGfdtmG5xqFECV84EI0qyKuT0gb19iPgkWf95w/
cglgTYnyXNdnKAw9gQInX9R1fKsLnT3hGH2l62Yf9dxMIzeoXU+rJKlmnutaKaE76MoDOpSbaVQg
sL0dWIe0pvheONZBrmQ2+I703YfmQHdFBRAc70mSZpRIlvNa1h4iy7xX5XQlywLkr0QbWKYqy7gR
iaeHwUmbDMXFWTTjumN7AxK2+1LQ/7lHxKiPKdDy7a9v1Y8OJ7YITDKgQ2APwGvlfNgixPh8xrrP
QKuCVtLiXQ3O4ddXYMv01i84g2EMBeMCaWFyuLbywTOgmQxNbScIrlIzhkdyirpoE5XX9RBzJ6RE
vaqVE3u/vuZ/vMVvXIp/ueqHMW5XJm2pa5J0lAX5UlUF+cH/4Kl4H+jsPUInJzJuG0C6tG3fgZHv
Ryw8aQ7hRFajYpnX030hWQcKxXB0ZyGa7KB8s0PdcjM5vjXtbHAJR++tVH8w/WTcKSk+CO6mvPC6
yco9u5TA0JVUyFu5ENtutLRvRU6fpj4hzkRR9IRJk0pU2QxdVmDhtrYpL/vOuYEmNa1ZD2+7oFe3
WaCdQ9F+hyG94aH0uanrldlALVCNeKPJoeTF9J0t0iHHijB18rKC7+vWgwEsm8ELZxCmsIiDlRZw
enbEnpv+pWoGddGU0bbWaQwd9M/jFN/pcrIzWjCT9Ww6inwtXcYthcEmNbXJFKNpgtAXvupq5AV4
wCSssvJdL8NBi+IMxty4zmsYK/7EHSwDewmwIWilW8Qo0+UU226d+scSWBTThI1SIBTZwXjD7IcN
HAaMroUur2mtvJysdi0hFy+UrvhqBtWxlrNLVeKXa8eWUdCuNyBz9oa2sTCZu6Wi3OYi3Iw+YOi+
7q5ggekwq3Gz1fqzXcnd0p+pWYa+Dkr9YA2/S+S8to3+6m774BMcdLYYKv63Y3zIz8GVtKr21RdK
e7dMJQ42j57lkzosjJ1yzB+H36leH8zM/73VZxqSydBYceYv4BvFQilDO0/wgx1L11jkB3VZrjrG
FHvpzlrJnnx7kpaHu97D2NJ/5T/SK3GQF7to5V/NavVvfpv3BxsWEL7tGhhIAwmHY9THbJKQh4wT
ehxehfIZjyME+Lv6H4Y8/nKN2aX05gVPddZJYZiGPFyfA4aY4vLr1eOnr8GSHYocdc3EI/z+789G
c2IaUPHwls4Vo4/aYM/5nxXq3yn7fJr++yn7Nhc/SUrNP/PHhN3g3E6hHCd3+7+40j/0QZsjuAxj
878dnqzpP87tFqIiDmLL5GuAd2bOF/3QB41PgMn+mL3/Y0vwPEL/86tuyMz8yUjxO2CCY9CufXhg
ahBFoABaLQFlk2NOkUaI8BkthRehUuUJ9NkJ/cnkad7LIQHjPhk8A1OTQi+OKnLGsyKirbKyo0qc
4OIA8VrYWKtqYH8jGCLqH9NQW9PSTk3KQtfTqAFK78fs6STfKfLHiTmgfra6zqlz15LLXt+PhjE0
YJXA7TRf2XnX04Tnw7cajmA83R3SHH2IV6kpnWNYySEAy9oknTLot1VR0q1FqVDVcXBc6EmcuUo1
9PsIQ9qKxhG4J2nSXStmMnyTc8MoqX0Lg2+9Xo+rtJGzQ2QmhUexun8VSwwUqQALacZQKPS1B01c
FEv1t7DNhyM2m+FKofEINGn5Ugz0pkDNVuuvdoQbNm2BanMEMajPMuL2M08bINxhbjzZU+qs+zAd
DgENIj5tTetU0rVre5JTb5zrR9JOHnUwRmy2DMwUdMDJ2KVox1slHSM/vVRK/BcNtXALjcYUPiay
LfhnGIXOLh+H0/ijNpXTOZwmHBiJ2qnfEr0x9l3VBFvBsfxeMxoNhqAKIh+6hjvZWXfquuSJtzTf
Vo6p3ChNJPPEJAZ31AnWLCBWhleg2DBhCCO6MqKmWTtOWmMadOwrnEUGGFR2IY7ISDjjL36CvZ0e
qIlqvnTZ3M2JG4QCwkiFLKuk9IGE+MiEw7hcYVxwURLo3iiMzVmLeMqCwy72EPX7Pc6RHWD6iZJz
iVm3IcaXQQ/TjV1mwW4sIp3fLbakY4Qes8uiJsVVKKjnABAFR1Og4pQBlR06/XuLEbTuCKfJ8Xdp
LZlfKLi6o39QPaiSXZ749f2VlFBN3xQq5P66lk9iCilqt4d4G0SAsAq26kc4u+I6rO3B7Zuh8kTU
jV7QT/6qqZomcF8XlH9X1nnn/Pcr6/65/knYYv6ZP1ZWJqJAcNiHWxDwQRG80y4VhxjGTHA2NdNi
Pf6xsrJ8MvYEwyezeSef+mYiqrOy0iYlWwbVcYAN/xE+2prPAW8XVhqhMLqSWWLoY802nvdPXUsp
A1kJJ0B1jUU3Ip16TBzmMZlV6c7a6u2vzNeHVVUaGF/FFOvSLmvsjhoSK1Ljh0ilruQU+kVXbXHX
s1mMwWPKHh1/nXUu9boezuTIr+hDjj7TL0BNWqhNFkVtU4M1IIwfNWalF5GLYF3CfVO8ACYzjNl8
XuJVfQpX7evdWs30wq3uS1kMoLm10uYB7nM8lkyyJpWqAq0zm6hZqfkYKbssG6biJpiwEKyjyo9V
ry2Ceu1wGnYJUgG96VvTpVM5XkuJqLwBMW+NiUrxhrGa1nJi1l8oiO4UeKrCnDyt6fA6CtWZRi/t
UA/xpvgSSQG9lOh2KSfz2IkmRNhQC/MmwpBH2aRVUp5AmIUTbJi0N9AbKKY09TI9jdhp1XVl8c8i
aIr7adAdrGWU9iHIjmFhbSly0uR/Nz//rTfnO/X3X9Gb6Ln+KeOdn/rxJcVFIDMxguOIp98g2/3m
S6p8QuDHe/A6zn/1QP34kjqfLItMACN+AtzA3vkLf2x/MCw4CvElCyiV+hop+CBT/Eq2gCX/8VuK
S2EOKGAxYJfPTuj9t5RCrixUi0g+sUkjQ5xNcy3HYxF8lx2aXYkV12Z+iGzKCaPBUQ9Dyb+vVetk
Kvmpq8oVXOfrtOsem2ZaykIa100S3ue1sa5K65pqVFyzdGk11gNhLYjSc82Rhc/GYEmAVAkqOuhu
yzH/TM6oWnQOT9yqUlqXlMsD00XXNNS9IbCHKtXXiW5zJZ7uVZ0ex2xsdyFWW8A1Fs7raNN0VUZp
7HSPqXYzhHREwWo8j1bIeCe/xXtzcOLqHisbvZ+G+iIN+V1Vd19AH8Pi7oxV7UiryZrOkcP8jFe2
Lp24Ww4OxUtRS9+vb4M79AdKfWcBQNjIjfraqqRV3RAuEpn9pRrUcYEBiLBVxzx08PV9TKkqHBpp
g0wOzJn57KaTxLrQgWihXw+leT2U3TUG//o2NcTXtKSCw6xoNA3lO5lUgi1T01LK4zFISmMxBMDk
jTjftOzKlmPX7XW92dIrj4XXN3ZC+d7k+WPgd7fCNgYs1ZjSJnsA/Q6eNK20Y2rRGWMRpXcM5dac
fNgoMh5eSfdXbcOQQAw94+BRbBhgrcFcemUfHbqG9ywIUt0dMA8DS01ipO8rju5K6Plk1tatgciz
b4sIPKdeyu22sO3Aay1cxIraxiQHCrmGaB3pGOabBs/117SvBvy4htq6ZiKP2WLUBkGzjloAsU0x
OARhhRSjO8esqypG1NpTHjJyl3xSvRoVwxiuqB/RBtkdpuYJNru+dJLqhXgiFFoA6aAQKb5UmMoF
BuDkCbmfdsUrKVRx7Kolf4dMqaAU3qej/pDbI/7xsb8pu4S6EWYVrl4Z3ynceVHF+MwOXCx6K/0S
mDq3gqYdgR+SkmvUfc0AkjBbq3m60Z9x0QA3dZKNHtYPdmK0K43+LM/w7Qc6NUna6czMTGv4TkZk
WOTpwHQ7ayneihrKy2InOKaBdBU8pL2bB8EuH+Pv+tgga3C/5AH5lmlvMheKi/LSa3Hohcl4W+ow
OM0iWKchcFCd820gm3d+SUTA4N/YYD/pbLogvy+JsDUEOx7Y9je0I0vFXrKsaZ4TEpKVrcSVqFRZ
gLBdSFLIFr6mwI12aYpKQkp8RBFskzCc8xhXU13uxrx8YWRaL1O9BwFRiaR++nfr96qJqzwG/v65
cnzOvxdP0c9qQecf/OPRoiJu0+Bks6pjf3n3aNFpFkEJ52uMVQ19+4/9nz4/j1Toho7G2qmRx/3z
0cJxnDGPTBZMAZPxDx4rhvlhhkUg39B4rvAIM6kqcT4Oia20DexMDaSTIqXLrsVJJOvTsz+gbSYG
bZ4dwRV0rFX9GmVhta+vnTnfolq9RNbFmnMvwWsExlEE0c5Gqe/814iMIeElMulTZgEg7xgTTF1Q
xzGtg4bKDXqjWZVtmc1OPdCKRgW715eSs6oV9T4n6/YUVGm2rFRw4kVopShw1HL3wWynKfj/amxO
FyDk68cSVZKnU0qCK+yN3ZBbuziuacDT6i0xYcatnbTuVMo7RxWXCP7WRerk6iJVaVeQxFEEYA8z
y/AwzfRXdi5jXK/jwHMI86xrIcKFwFHPbJYJaDGnXISTeDbmtYXq16U3ISmpLSj0mFavuZEXOK9t
iBtFuYt0uP0NuL6oCkKXwOslnloKjFXlKGTsfDZ2Iep/n5qIgiubaa7eUupo98bgWfaIcoNLd5fj
VsV8FY3bRDSy1xgV8GsK7wdMRnLBe4ZGzMcinfSKVd0IHAR96jRaipoqTtLs54vxMmFlWufgOC9j
L59A24cbJ5kbEhi3sTxOU7TCFpX7xVKjcpzqpaHY1P5srVWtnKDGSE1JY1vUcsZhOBHtzUv/Bjx4
ue5fw67c2Pk2r/seg08R7XxTso+Rzmhk0Tr+EZxHY+dHper8i9KFD2lIPUiYm18DMACLAT+xxzno
IVHagBbu8kUmF7dspeCQ+mFGOEmcUpSzZSiyl3AyXAbqREoyXSwzOnuWem0TrshB90q9ua174lSq
QRt1H4ubMJ7JWVm21kP+w6ntpTIaHUXYYj6GwOgf+AXIwszbp35Q9WNvlNJOaNZSAcatnVl+E95t
Ju0yVQrE61SKVNwyTttDXTmy23GjnfpiMFd1ZUCX0TE2SQV9Nxxz6NeeujVjq8e0xzIhj7RxS/Tu
DiPFYmkfKCtD921abrOVlDnfVVZ8M84uRdfd+pJ2bEoLRUiVyitqYcVWnc8TQTFtJAPee9YaKRh7
3/ds+7mVxn2UIp3p1kGEheMRYFxXI3xqGrd4zSdb5AcDUD+lGHtDiQ5ZSGtd1Bn+MbfLxs3MUlt1
YXATijHYUua3rWMYcBUfkh3ijxvIuEsxLShqYn8NeMww4opOY18QPwJlv5DaPsNgTUOfmW6d1vBs
NuNZbVOlR4assF9MK2JpyVY4XVdlUi3lvikQz+XrsiEOQrW1xSiN/t/loBBpD1sUlGFMb+2UuKve
3RKUsrlJncI8+Y5j7nx7eikr5dqYuq3V2a6WZZ7ZksqXw5FOz4TQW/81NLW1WbOJCZDjY8M+N3R5
2IX63Un4Dmep9tw64lqXaEiju/woqol5ir4s+YyR/tiTopeicS57agmRebOnSYjPw3w/Kkm8pSvj
PBXjKZv3mjHkr7HYWFmxZCHFbGcAAsxHGsLEUkUNz/3OlWxMeZO0ZsO5sZCbsjImaTSuJGNWkdXo
ybTn5uNyIxEVT0JaacrilJMn9HK5WDPFRLPrYBm1NC32wWaUbTcrpEPfi5VIo69IxAsBt7HiK8JZ
ZOnTyaQTMPTb9LlOnws6F2h7446U6R2lpHCgTbdCLJ4Yrelco60hMlOEpts3TWuusPK6RjBe66Pz
OY2JX9H/Ro/PIK8zdhGO73AH+lQ7AmG3nexFMLFnhVtBWlg2dJ+a9uhwaAi3miI2dPzcy0qL7dC+
Mc3y3g6b66CHppF9z2FhVLKMH2ZUFpYWrQgtrBriYAB3vJAO1kALL9D/j0WvXWPAfFEkCoBreSET
yShleSM5/cZupJUcpjcxBWktm2Xsvmz/mbyaRjlXLuwbuVvxVbxqHHulaM2OvBkXrDzad8B8541b
VAChMHU/0Uh9z1+l01OsuaLRSzgPJKitcFgyP/7a5M0yt6U9SYjtJFmYmQCi93VCawMPibD0K/rv
BKXFprVWW7reuvyxrXyMiNbWsiyvDHWaM9t6A2V9y04au7LhoP7390Mt3xV1fA1Faz1HAyO/471z
PFhzG6s1uDutNcrbhYnIvkSx76XuJo2sjT36J38mWejZrveVI6Eye5F30SojkkdQgubKgbiafYlr
56Ap40MJsk7UyHLk9W792rw0dXPKG+MaDIHMDrS56QzD7csCZX6aE2fpITUCpoqVvBjS4FjPC9VU
3Iuk3aucHcuSlgrycbEGPHKY5YR875f5bV2KnaKya1Up56Ou0f8WiCi9aWgkXE5qu6vRMaeBnTw9
zpIUfw8D8zZuMxpqsB0QDG4fwFrhYqZKqAjopVW+m5lEhVB1n9ThVlaVE+tt5MlzixIBdWOaJUv6
N5eTrDyERlOuHC35nNXApKoxWRNnP8cJXUIJcZycMjLm69bGT0zij1LmRRRl9TjyLEKBS0WoM18D
wkh+HgNzHfsjG2jxvZRwcFGQ2KIXMHpGwIO0DEDKIpMYeHUo5Uu6gbHCdcss5SExOvmml2xIa9Rg
RPIa6WIVyaOXFyXrTxNDVR4nIq75XrRgzlvYVgZAi7qFoNHgWY6SJR2K0i5Xde51AOnU49RKsU2l
9jgRG2jq8glbBoYUQvh+Oh57nWpMwvHWb3DkH0S51x0igQfT0rVZ4/woLLZDXdddlEsnOdtEZHSL
5Jpk8uLNvvknlslZvPlzBolayTZ0BoUrskY9GUbQ99ONSMpk09AV6TRSPDWsh+5hLF4Czc3AGPz6
Sj/b8L690gcZqfALoUw+V1Ltq1DHQmwp3jRtC/NL3D1Ghbn89eV++u7xbcIHivzKiPX9C1PtorP9
tAjOvfTYdvsqeMrT/xy+/tbS+rNXxG6ZzTKX0XSiLO9UWZ8mDpLcZXjudUYY604IL6UkMgvWEUKL
2l7941ekU2cyRwUtxlrmPE5+IwL3VEarQm6jc0QgnBqLRcfcNvnNa3o/7Xq9H95dZP7zNxdpfKk1
TJ+LxCRM2voQO6H7//cy5g/uzRX6dmI2AnbpXJdHE79RUnz2reg3F/lgwZlv63cv48NHUyYiKfus
ic4jUDr8Wk50ZkTOAvdgYNxqTmrX/OaKP7nfdMSmOYNrIjh8lNCTyIYsFSvR2aoulUwdWbq1/Jd/
/tah5DFCoe4IeNSHt843NMm0+zqG6BB6GT2nFAAO6e2vL/Kzt47gqWPoKIMWtZPvPx/y5pYVRWPM
5/OQm4eQk2LMYuD4NzHTtJ6BmP8b98F8T31Yg1ji/rzihw8LZxJORkXEZ3nE49LcaWygfv2aPrCW
DRnvu2LpSDbY4E2+rx8Wn6bQwyQclewcH+ptu+XheaTYyTMu4bWxzL1o9XuO789uiLev6sMlEcOZ
wJZ9fO5NrEvkcVR0BrXY/PqV/fy903lLeHKCM/3waZmTYlot/qwzUfqlquxtu/3Neze/+x8/HZ3a
TaIB9KcwUn9/P5SNGimikeKzxdFX2Cq7zcdIp88rjn/zWn72jr290ocFjhNxURPzic+K8RzaF8O/
qabfLG8/vwSWCMUhCgGd9f2LiZSkt/UpSM55fjLwDI2RulA78zePup99hbjZ/rjKh48+qfuwFQFX
iZKnlL5zTfJqnWa9bsnAXUrWqfGbz+gvL0uVdcsCJYnIiXQ5V+i+XVMRqy1YY0V6bvt1VT8OpldN
1//wRvtwCcZsby8BAJE3NKzS8zBBbJBQ5MB4/r9cQgMQjxzqMGd7f4l4HDMp5aR1btInadqiCPzm
An+5lXkNJFIRbw0Gbzi23l+ApZNusxzGPvu8rDPIEm4jQga58/z6Qv4V5BWWn7+fyu7ZeDRMXz8w
E+cf+jGRVZxPM+0L5R3r3l8UeWQ+2QQHBpV5phD/0PrMT7ON1sacZjIsnVX3P7S+2eqERm+pCjgt
QAr/iPb12hT451JHmBgpkb9PZiJsmkDHPixAiq+17Bss44qJgVbfqk6YZhSji0xxw1DqLEZirIbH
xk60+7IwRyCFQ3qRJW1JuCrN3DpinLpsLdlHYbHNptpmRQ1E3uq1udWvQT5vGn83aOkQLoq0mJJL
kSV3DMOuTSV8HAe6fhFDr4SZV66ec9CarJHsSRV+owPMhCJGhISZNpNRWVqOLSiYPE6QhBLhDlpz
Eyr+/XxECveFHE/CTcMsGL8kaUF7bNRNHGXrpCxcBomUQRSdaPOjLglzI8J4E9FIu6KPYPDkNkfn
zPvyG8WHj0EfE7c0M3+plPmqGaNhWWTxhlDIBod2yxQ5/yZrQIZSWjdpCMxuo0B6Uo9lLo4F58hx
TtY66ZRwVvI/K5V9yWifc0S/jqeL0pq3A098NFJPz5ns/Yeu++8Xcd7g/P0X8fA1YcX6y/eQn/nx
PYTOjnyHoqzYSNuyxmr+w3Ooap9wyvCF0tC6AXjwRz++iM4nA+FDRg/nD+XX7+gP0d3+ZGI5ZN22
OJiQAnL+iTqCV56V+N03cV4D+DaSJZFltmsfVmpoHHgwqhwwW58GeynIKv9mHJOcmh81StYDIciF
sPRgWdmGGxD62+q1MSznBuENg91imwk1Ow6DDNsjTm15NXYiplGaLLCWKQfboOl4iCOUWtqwJSc2
jtas9Y6pvDKzAIQG8xFnsp+NuMdELIbA9X1s7EuTiFg+Dvs4T1eSzbYYI0533fbNVu1H8zFl+EDe
KqRzW+EbIRebSSvXgxpcV0pOntAUExGwuF/mWb1pJ+XKaZxny+8ukWafKBXessm7iSjYlYrmXgrs
co80sK9CZ1uHerSlM/0e3WhpS+FNphq3QWSPC3IIlPgmWokfL3jgiLLV7BKLvP+gOenXGdy+ED3T
sIR81boJI35n3Zol2n5Z16WFkuTsKy3sF0mtAhtNryrCkPNwlSCX/rUO21M75S8tb/TCaYvlVAxs
A/1yl1mJtcyKdmM4ALwZ92PKQKCYcuZGanxrlZriapbYTb50b9fhBdO9v4Tstu0ChjgUf06sAiyD
MzSgJObIEbrY4IF8SPAj4fRjf64RRQlEOi2DMnxqMjouRakYbq6ItUkXKy0w2jqz1au8RPIe2pSq
qrr+UvqhTvjspSMttDET0/HAkYB4MUwXl9gLUgBTZsc5VSlhHAqcGetZ1WcbcNZBolKTMOElDZqN
M4fXdQCEcVtaSyPIqT6VA/Eo8mlnB/p3C3/kXDLtIFlMDzpyrxHoj6M8XSpb+tzXysNQknus2/DF
QjNZFUPieGUTX2WW2CQNk9paV+jg6Ybn0Yb7Rl84dIMyWMVq9yRCNtt4cVdWnzyRV+XP47qsV2pk
Nt96DgMHHLDIRNmMMW1txUCnm+GmvH5zk4mZeOobESPtPqvBEbavEhI+dT6pV2GpmjWmZH7HJ4ir
RB9aN+GxvnJedSl/lqh4jIQbgWo18WW4iFnISiR7uJSzuMWjaqdpsQZwzVloswA2zVJYHATagqlI
4WncbdjIZ80sUQRU1llIy14ltQqhyp5lNmsW3IooamnAJfon9/2KGuwnWw5OUC+hbqDXaYAUKNF0
LoCJA7dJ46vKJKikKncYicVNrRAoyhXwFmqV4QuFDaPM4qBNsBJjjpZ4xCUWPcAxJBPERA1b8MKe
BcZMdaBlzqKjMtAdnOm6N86CJOn2Y4JCmcxSZTeLll1KZhOW4rcaPVPRSpXEbL0FWqAtGKntJDxK
O2WWQYtXQdTO60d1FkmNHHsIiRaId/ODMp/F1AiEwoou4mw5tRMVqGiucZb5K4dwtDfMgmw+EQZO
Ekp0i2wWbqVYxh1XFRSzz5+vb1IBDBKxAo2YDsNVNLMSh4lcKvDEcOBVyxJlMWAVUYXX0cxZLF6J
i6AXZx/5cgwhkWh2xycE36zEYEuEVawy0I2hEZGjIXaDdoSxJoDvOJTyOgL4KAN+7ABATjMJMk3r
bBEOtZcrybGZaZGiy8JlBEDSL8sNETAmiJAlDR4ebimR25ypk+rRBkHJABYWZdif85lOSTrYAWcJ
sTKo5A0m6Du2PqsBpGXn28/jzLikGX7XztTLQCGgbOo3/27VXw0U8yTg73cID+wu/7pDmH/mjx2C
8okpGsECBcOrQ333mx2C+gmsj8xUBcWMUaT65w4BzoA6n61mHJ3CDI6T7587BOZJsglFF465CvD3
n+wQVPv9WY69+owpB5HGLoEkH0yB92e5ljRdzoNqPJUtilhpt67l159blRsxVkXrTkpefI56JT2p
bZbdNGTQN3R6A6dkCL1UOPsHTuG3i0rXrjRLl702/T/2zmw5biPttq/yvwAciRm4LRRqJFmkSJEi
bxAaSMzzmHj6s5JutWW17BO+901HdMhVJKsA5DfsvTaQPulmr+bqTAighHMmHvmLP87NQy0BHeZt
sdxi6wMnVpJK7I9R/WCB82atwxO28rdTmtQXwNSMyGbgGcjswAPRz6D8jvRtj2erXPXiUACo3Gcc
XY3Ntkl6D3E7krNkZYQxYMK8FCmcdMvxXzThzOC1vcdqNVJgO3MN30hWu2H1x0DLCcvV+Qguqe5F
u0UM/gFSpQIsGiyKSyg6c+P62yI2IRVU5NvEsfupho6mjJYF26ryamzlPvdh8hICjLpjDHwwZYGd
NCcxWmHuxiI04umUd9p5qr1HPs3rukaNDw1OZS+DB6vy5MWeLOim/sKesn7ipH3q7Kpg6RbPmyhO
7weLdQ24SmRhle4GThwf8nVqD5pTvpoxx9BSOSenwwBKnTES/JGR3KzZ8S6JZsEmbH3mi8Y04DT3
tRbdWIX84qFmNKMCqmxjfotkf6v11XSVe+x6Ox6rYTt7N+bKsnSN1hu75isdmmXbyvk2L80vhtk9
rXP+VYsaor+T5JQXy8VhxYyNluWzriQH2mwcgfkRajuiLptj/2KryZpRKk4lGN2lhK9Lzt3G1pPn
Jl7vLAstY8teUltWhpjv3t2oXgLHa3PvYiI7Mb+gRLfl0R36PARhcEaoR0XZAXvfFjapH4lrv2o8
j9PRQwmpSRiglKSke9uI6YoTiTIYfVXhCpTgClMa5s1pAoCDhhxgvpfupY0+ptU9Do3V+NDZNlt0
D8KbFedfW6OBJpWkMkxLOYZ15mPIhfbg5CsfctpHR9IuCaGzUQ7M3OCB4Eo14+ZDUVVYDFPrSJHS
bzCri4cqiRDHWRaORgV8srOZE9opt0Y0B6slENrI6FVK45BqLFxz237ohujFqCq62xyGvwuGr7eh
0pE/sCnnEQxP4RzZ1FsXd5BknnndAGMidQB5WvdTjmE+GuwrkbIt8CvpBxxxp64Y0xMA93NrFfqR
moJvaYD2bn7q9eiizfFups3dYUzZDwQkoVQpuz2m42YTQwbw2uJLUtg7DzPQYHCbNI2LSx+tRpNA
1nHn5phrrrcF8qlfsO2b2wgH3ocMQdEJOg+7Zi+6mVqNssx3QkP6K07aiet8AiwdNcud1NkAy7bJ
Ty0ML4heRnQQ7WCBuaqtvYwjfysIpD82bXVGyoruIB7NU+/E66nNdG1v1a0I67a5czS/2625PGki
/tRopXlrZATK8/TLjxrOliDJm5PGGjheYpJYs+a5pXZ/66ty6yfcxndulr2SKj0YzLnMoft9pPZv
h62YdX99fl597vvXX7lPeNX3E5RZF6oYBlrGuwzdo4f9b4+t/wYOChIP9wVgvR/cJ5YOHw8Ppjpd
mYa9y+G/n6Bo3plY84402kzEjH90gjKO/rnHxqRuWLaKqbLIJ/N/6rExXi8aU6z5IpkduSHkFHTI
o5IkoxlIwsJQ4O08NkOJrid/1EedDAtMM+lwbFaSy5fJWfOrXvrzGmaLMaxhPjcVVBrwuI79dYHf
CX6z6aI1HOKOFgEP3mFx9Nh/80WpD/ey7/tuB5rXiraRXFcOqwZJF4IdTRk8WgetX4P+b9bSzUqI
Fzn0Y7zoIbLJbg3JBiiJ0PbenWC5vh8FB8C+m3C7fyx0kN87lzIdkwwFe+VYA/yMCVWMKcfsbTa9
ZRcjThHQObJyCE3fFwe0wvFJi7ziS0r6x9aPZ11DRCKnUCtwD8IMoL9lj7QRJawrhmn2l8nG0rfi
b98PaPuTjd3G1t6WyZsza9amrLw3Di+L4zguQ7fh3xotI7NjItVrAe18TuKmP3uqKYlTFJMgTuMN
tjNGai75vAYBGN22hJOJFE4TjBAhp+oyFQeelfTx0Vx91j1llFvr+NR0WnFrKdgQsh5/7zXVa+6u
9h49HRH0yWTt+3pAuwFpiLGHm6HHHovbXIx90PoWVI7J2JA4MCPOrJmAeOZr0mv1gZkhl8VUmCy2
rTbsajBrwtG+NHkUH5y1GAO6U2+fdN2bCxVt3xiMGNySwcl27mLCF3m+7uu67E9IHLKtoSXZNb8z
gvnaqU/5PKGIy8SWw5aWyZ3lne9H4Ip9cIH9mJBIPZc57byFrG1EHF+tHb+mZ34qqtygbcjiDZ53
8BYzvJbaLeSGpRu78drM9nrhtHexbAGaxvNw56Z09KvUWz1AVEb6SW0Uu1X4S9gjJUQZuzThorvj
pi/7NoyWKj/oUNoDTEz/iar797Gp3HJ//dhUyNFfPTV50fen5vtkUvltfhkI8m5DRjDNLIntwY99
BzmDzCsthvf/mWd+f2q6vykzH6I7rEIkGjHq/Ae6bcaMPz812ULwWEdVon4L3vDPfQd6bvwTmlgv
Zpk8tmYxEDAjq03VkI+nr+XOax2kUfXRlhp+Cf+xrNEXi3GBbOg7D5lnXZv1cAS6H7aTR8ad65YI
fVNqjI9F7eOZNsRdrFVsqec0xvdQZNoXgyaYh5iuAOLuO0zcfueKK8J4r1jjpaKOC8Ufr0fnflZE
cm+SF9/GUL0oWHmywo8EXy7BmNfgzM3aHjdCEc5FNx8dkOdJ6p1g+m0lKPRuJQxDsdHjDK1oZtz6
nvZoTD30dECGmwig+tR0OREk1ZtUrPUE6Hqk6OuG4rDbxnIZoFC2RbZs7XdWO9D2VtHbBwF/yQfq
HgvUa02d6Lscizs9hQYOfl5qLWAUdNZH92ICjB8Bx6+jKkYTl1EWTHndmM7d1DwlCjZvuWi5C/Mu
pzsb7PIxTzHwdgDq6Q530wixXo/msGzqN0Po2wmkvT82JFmY5VUTl0e9lI858Hutnt5EZ0sqMukG
hmkSfpAy59C0fKBzyQ9trzWBmTiBJnHURAY6PhsGBVTXRvIoIXhhGhAHJ/UcDCozqs5wipUcCKGX
52tQLaii6aS/JpLqEW3mfogysekRJleecaREOIxjd4kKanWTLTiO9a5lLenQYeEcKhjQ2UV5pHgL
+t6+Hhaw1mYNtzGppp2Fxi+HTEsTo22scdlm1fI5dsgS5D1VeAokqYWg5IQ5VGJqn0UXZ0E3DSZ6
WshIzJ8hc3vXzP1R5Yt+3JH16VwVs3losqq7T3q4ZHTQzJNoBfEd+Nl27cZDMi1r0DuFFSqRtVeW
+h6fz7BDsejcjFD0XM06UuA+Cts+iNF4nKeBXIukF9uhN3RAHEZ2RbVAOY6VPExsvEhE0aA1XDIr
wL4U7SWitZtmMY271KjdQ5pPe98ibXKOT2XeR6R3GZ/RStlMLmV6QbgwY9qydtIrd+OAwJmDsgjs
ufoiUT0bU/qpjkkGIw0gjBO+zwy+5wW1CLDecv/DQ+329z3FjxxC9Qz4Y3uhRFQWTxsswii13hGK
f35GNOZCEJjm65ei/Jhb31B2/n8pRr/4EagxWJZiXtGxq/w0/pBNvPRZ6liXvP8y5reyeaj837My
/z2jlLDgr8+oW6hZn/v/HY6pV/33kMIjhD+IVTXyGlzcfy7tYUpR2CPI4UxSm7X/rM8wFlFlg59i
zWTCx1EipO+HFJs1H0GCbxvIvhFD/SNzEXqJP12ADMfwrBpAPbn4kI5zkfz5AoSrVVXIrQnCLeYh
P/Awg5HHJOI6w+NmKft3sj5F3ENGOxR7xhtPsOX6TYkbzsYn56vZSopzDlFsEpp1d+dMNTefYCwb
Bw5eO5OpyDoysdWea2x4EdMaL77oyp9XK6cegw5c6voKC6x34F3K9VuhfNZS5Wfivnim5gf5bGrQ
oebhea2ZVr07A7EIpsor2CrXIBKR86p8hDyTry3h4YrCYlhpo8QpJF5TzIfzanzzlBuxVr7Ezlju
S+VUzBe4u1J76lZucJCV2wxtAZ4C/6ZypDxrxBY4yvm4KA/kghkSbRX/YdS/2conOWGY7CYdbybP
+8xIVXYwK6ZS+StXjJYi/2TL26QHegZxJLXn7kD8YbKNXCIJ53efpv3u2awS8E7bxpTzsXt3derv
Ds906coDT2+clKrK5Jnfhhz05NaoGlQokxGzWepSwwOcpmpV05g6DhFVwUpVywIj5mhfi+5uUpUu
xxr5Rar6NWAGEOdDRZyo2rhUVXLZOp9qVTdDU5xDS9XS5NXAL1b19aIq7UjV3Ngu5R3XpoXlgYo8
ozRPVI3O9r6ESWql15Gq4Gd/7E8Jsur9our7yioQU7aq6tcIlNrr+fhmqI6gTdoxaFWXoNMuTANf
Hx49kHyql9AhaWxS1V/gMn31VccxgmcJK9WFdLQjJPCQIGFnxa1nxnkI2JGuRZNp6MNF31uqp8mn
3t57Sftaqn7HVp1Pq3ogV3VDfHLrJlMdkod2AugeXVMk0K31qpOqVE9lvrdXuuq0StVzNRJhbQ0i
e9Ortm7wtO48qy4tnunX/ARtrwqa2jeDU4R8edYm6u03tqkWvqYEk4Rl7vv3NlCojjDzm2TTEbP5
RZQc4RjysNeoHjIu6SbbxppYTKoWM1PdZlaN9J2qA+0yQxxm4peGMHlvURfVrfr0m9lbQTl58HTd
uKt1Ck4GDD2RDCv5S2aTBp1YHgpNZ54oCsBY2Gx3ddE+AlGPA7Ey7K4BPIR9shCk2D9rcftUkFhE
D+3PYVLCV5hKjNKZoG93ZfbIBP02a/v0hfEW/MskTq7k6GHiagboZiytqwEcPczHADNie/RH5zUp
ppdRRLs59sC++9rbnA2Auqv0GTz0qbCKT2ossDd7zQmKslMPEf+aj+I4kvRQc59qI9fFUHoPaAxu
Wz05sfB1N1VX3yB/+2o4/hMRQSz5uuV2WDvviOXpUK/9fb/6H9vEiVCvsAFgoB5iQ0tpkVO5Jx8p
CyiLLHie1XmO+6Dzkg8xJd/GjSk9x8Jsz7ZYPy9ZpqYXDC5rpsJudPHM+VojrXQrWZ1xpzCBrbjY
NlQWOFcqP/2SefjJnXzIDrE5pbiL2QoutNMnB5XwxnLqniVh+cXvQfCVYqxCx2xv61m7J+5o3mek
ZpziauRWrgFu5XL2+JU04sI13EDNwjMpquf4roRlsgGxod29N+KriCIA8fzQQbFBsij19wK43Yci
7pqtZ5DfxBNm3PeZgznPXvx9Y+kyXLPEU26mgieMK/dKEhFGfWqC5SB+218zZ+N09hvhaes2t9aj
HLIL0IFzaWZXiCXLEC+5sTeRL4WmaKIdwCACWxhW7YuIBYclahb4zmIrEN0mTdjbR2lq7A1T0f0z
ftuk5K41ZlyoRYWH1Ulg8MiGp5RQDJC54i+1u8lWxWW8GTPd2WsZ45aspIBtQSEhm2CYwmPqP8TG
f0sdtZv761Ln+rX7+vrtf0sd9aofSx0gObYN01VJ7finH6aYhkWB4VO7qDqIeua7UgjwDtYVYDm+
TreMPuGPUsf5jW2a6VI9mQQBIDX6R/34u4/jj1qbUodyysHioWodA/75T6WOqRmYF9s8v+jCGrqT
P6QNJ/JUWtoTYGiX9s8hkiIY26yFzJVvRwDe8PQOy/EoomxfVTWrbDyjg/eIDbNRqW8Puml1Z7GQ
QfspijEMOQPiD4nTJCD8+EK/lG1tpoaHxrDBeaLeq3N5WbRiwmBgfI4o9AKmZudGrLeVszANi7pH
IupY+GEMHb3lcRXzN6dxPzQmQYQpIK5DvBDeNXoch71/N8TZ21R3RlhmJbs8XThhQx33MYrLWw4Z
EiaEBD686Bevju7mEoKXI1mgx2yMEOR5h8lh6Fnm8yFyjGerARE812x9poyGv67bKaRRyg6NWYKy
7lyPJIXICcs2+TTm7bCt7Cbfx6Q2bdYGlL+poP7jO99/Vqh/WkI8a+17AgCRPqDKVSxAkggVDUhU
AIvO4ox4K/7gDgQJOCpSoFbhAogH7Uvq0bjGOtEDUuKUVmEEiYolqFRAgdPCwexUaEHynl/ANgXh
AJkGkU+4QaViDlDGUAJNRB/QB5OCkKlAhEhFI3hNh1Wr9CWZnr1etenJcjVHP/o5VvCdMecIudxc
/6K3prUdR23jthlRaIBbEBsQ9ExXnSAl2VjxuhN2eWchqZiDRdZorLr8tajHJ3Itr2oh4m3pzvti
yMnns+3rzteuezjam6RMt3ZTfFiS6tQY3bOh5VfZDA6lNcoHdp1zOCTeV6tpb43YveEkIf0zGdz8
1uasMkIkWSbyIDvJ1mt2AxW5m3OYN+gvTWuKsKEnx7GMILRH2AQXx/DCco2/rgs66YhnL+44LM21
Cumw/SrBn21/xSrebQDb5AED+n5rJks4Ao9xS/kxXoZliwTUxtg6ZYGUyGOocm/I3Sq3nrDrA7K7
lJDGOFxS/kv0R5sEb6SL4ynIBWFShU3at7da057F4rQVi7hxbQBUeWeTU9WA9BZiODvpwjrdxmue
Fr3G7Nx4cRadBGlZ389K3upLcqKiqnc3LQ97P/UQmgmQbb3rvpZR/K2oycDh7gqGTMJSxokw2sym
5IR7ndV7MPayDGtdYZ/q2d95XPpk0sbbSnQDuj17wHuh4eCegba6dX6q+qF+eH9s/nt+KGHmX58f
95+r/7sa0/7/Ll/gi/1CUKJe/v0geZd+GwhDfEMgAbFQcf9wkJhMbgFrMKVVTfMfB4mCsfGa/6ZT
/KD9JrnCB6ABPAqZClu2f7QO431+GNmoYwSZC/+Dh0vo+IR+sjd0xDv3THPiS0w6DdSalP3KDx/N
L4ZClqPe44+jClIsngaPN8KAROQff9Sfu/JSr4XfFHK5iXP3WCUjQauGkXU7t1yuF5PCGD0ayLJV
TiCmtIYLWgfYfG8MTUr4zuA7127n+v2xiqP2euw0D8jTOxBNDaSX0HoHpQmey2vYcxvWzSyaQw6A
Iew0S+wXhVdjfWMgTnX0PYrSNuwVhs10GjqiybnNFJ5Nrfi3o0K2pVrMXRt3dabtq3eqG4zo5K0E
brQz9TSiqvbopkK/kJaBQqPg/4V6Y5GZkFilMO8HeCJZ0LRLezdQPnYpZv8VnSMiieST2ejEjibd
RhQaSRY+Pe7U7ifXuZpHR9+4g3YzJtOjnZsPrd/fd/l6FVfTo2OzYfccBHF5al21nRWylbpKsHLo
OG6OOpbZbbw451kvEPrBYUZJuBcpRH8BbGKt5amzxXOTZZjRC9fZiLq9dKmTHXhkXo2L+JI4QK6T
BhSFhUCD+bJOV1Nj3/YhxtXQiQafDjG2zHI3LAuR02a0nlvZnKdI2y9lThROGu9LJB1bTvYgXgkJ
ntPrcrbNMDIVcT1p9uvaHSPm0YndFvuMgNEtAINjt6o4ql4/Vv3SYW0u7+tuOCcm5a8mhfNVTnkf
yC6eA6Qku6XhUl30NCQgizLfqzDtRselaQnbRsEPklgFhHC4ex4ykTiz720LdYW5WOMBChYNYuQz
04isAS7ZcN06k0ZyYXec8gUAVyFeLWf8RvA3S9XCKc+mjztnkxCeeNdUHszUxUpJR+HURBOunfw8
0/e9J76StnxcHe1m0N2PQ6Ip6JJDUGoXRrkXjKZ+tZbe3VRVMNCZrXRRSCRBUDpzfpgLY+/NAznJ
Jh+8XbmHXkxP+ooMsrHjLSrQF6RZ17VgeJ12y8kuxO3Km056dV2SJbxabIEb7bPR66+athxra70y
I+3gu49L9FJ764kqxNvZMGY61/7YrvqGTuPLRLbWOHjD2SrzK9uQt3GU6QFxMTRfuf9cxAZKalKg
u1m/8i0gU7N1aZHGllYSJCv9nr22OxKxHryl/2jlEzrSnL1HEt9akzqLUknrN6XQv/IjuytUSZP+
2GjJA/nSH9nAE54279y4eTPc5dT62mlBRIyK3EEJ4u8Lpxg3tPlbs9aBMI7W8MGasxN/39nOxIs5
soqWZsExWpNPb5gNFYS15IdFK41nkLPup96ryXlfpIzI3oryDwuY3M2yFDqTIATKTO2TbavlWP6V
thznGqFvBqv+mduCUGhIrqO1UuYV3cTyZmwcdYfRlVPW+ANLgzbyvqw4OEj3ch613nDCqXduIrgM
IXPEiZmW33MxowSe5FicYbQSemfYHwYhOrTDMNZjYDobGNqozOR92eTzBmVys5maPt7lvvXJce4z
vvltO2rr1l366uSZhXMdsdQOlxU5cO7UXywMiRSQMuGW8/mO7AcBaYLPUVLMyvgqK/UVVkd0lw/1
l3Hxg4yxn5eRWQCM514VyqbZvPRjHq51dpiy4c3t5guEzGwXR/juzbl4Ruy/Sxz3pZYaCqAeLp4O
Uy+aMZENfUVz7cqrPrK3UqbsF9wwa41vpM8v+6alK66m54kBmW0NDQum8aUfrF3T8TXnM84b94kA
1Ed7rJ5svSYue8nul0JeVf58GFr2/tqcPcWJPKYzt+iyXE9RSQ4nBA1ROB+GYb3YvfNMNsVNzQLF
s6anee0CNpGn1F2n3WT5PCxEF/BthJWTv4DjxQ+dOXtKdoaARYv+zkuPcb8ATTMxFme2c6+vfGt9
QbUWV+5DO6WnwXSGAKwC6YnJuY1YM2lpdZum63Cos/jJhpixMUV3sNUe0JLMc5Zrs+KvLxP3yhvd
A6j9kz7Yz34zbSP4D42XX2g9DzB1ARYDrcLN9FnztC3xcoexoGqDXvRZDPmJz3qbrijbfcM/WaO8
6xvBr2nRAwjt0NnOSyRgNcsCnNN0zzpyy4p5xbKEeL5Mk1thLW+RmG2VmfYiLKUZX9NrdqT7Nmof
ympg6lHVB1BX7QG6irzSdfL2DOOKLOwXBx+G6NizAdUbSNsWOuJla74FiYGgvEMlk3vdp0okRHUI
7yIYtDFJattzT8Z3MCRk5zBh/poWWrnFHq59gmzI9YIeNJTMUjamlRbfcI+5W4PFsgNI0Lie6bTe
/r4I+WltRAni4xU2HKoQJlb/wxDQc1tHvBppN1n20ckfc/+LZf+z5df//AhVaf3g75dcxU4+8iNE
K5nVXMbmgpn87/+MP0uXVCWl/gwHwx4aJgeCxZ9/hmGMspz9NL7gv+PheFmHq2V5gKT19z+GKcVP
BRvCZ1YplmEyYkB89ecfE9cZRKp8ii8jbOmW0Ibe4D5sP47W7TzpxHd2TAV+p37820oYXAh/3Upc
17+E+fGa//YPCDkg5uHeNRBzGMoF+r1/oLUgAB1RHBl1jnhXun0fREHsQ+WGZe0PuP73nZsi6OMB
5m5AZcfL/lG8Hea4P10sqoNgFOWwJ2ceRSK7+9M12a8c9KM9OjexWa1XANJFg8GB9YS11RbY3ytq
5NFAVQCAuKCcj9waGl3Zj+GYZu/0LVFce2MqSlhLMT8jDtQywYKlNDKKCGPyw5DWrrNdMM4ZmOM+
zWOpNdtVxJYGs5XAuObYW53ebFgWOMvdmLkGCZdaHe9cu9OCcame0C4QB2SZh6FyEQr3Ewr4SUyb
LsXTMcZav4tG8ZBVxnVXseXA6ok0T3xgw95xQjNCR/99buryXLXRlT4vj5K5M2F1FK5NU1J+Hcke
Bb0UU/lQVadB7lKcFihqN6nHFmSMVvw4y/pUuv6tLhi+IFDfaGMP+hOHzgYvYMO23Dt1oH8MNaJI
x+nTsNisjOKCxG7BUVLL276u5G52JjKJRtTw0dQOgemuyzZnOYMdrQIGbzPg94QRCnuUW6K12mD2
pm+atZwLSvRgpPoJykj/tixNHWDP3RHXd0ipyAMys68yz2gC5ScbbQlau52vqA3GYEqZO7ADvKel
2rXuaOyiPApKraQOgPJ/BDTBQWvVN5lRf0BNF2DNP6cIcpKFMd1EKqruAoRn2WNJtPhdMm0HEzxi
kWPXtdAMNfHJimiWGvZlxNJxSg1LRphune886WpkqQ7XpUZSa16owCwC5Gh8nkaSfUGp+OnelGYK
pjS+XVyyoyx/CPR2OE0jPUAruqe4xiO05vZZSv1+iJcQBP9E8Bu47Sr7QId1ldrmNnfTEczpmoYR
e7VNgx6DkztKArH4t8yGXMo+87Uu9P6gkzHNhqe+sXUCyBPaosrMP7JPfSzZptRNe9GSBqKXzyLS
Knx6xiLbZUX5OKOvVju7UZjPohnrrcvwcJqL+yW36XHV6aGwb4kHv0X22cSFbiTnpgGxZvorcs15
fqpcQ53Rw9MSzY+61WPIoCFBHrqvEv+S9XagZSys7OHL4lIq9RXsq9HNCXPPddIh9XJrDuN9lCGP
qjMdXbyMKYGs+NAO7YfRWZ+B1r2QOJAGS4qB1EcAjufP0gNLjB+nVDioaEg4rJ2Eirw+Cdf/XBG/
vBFxawRGrd+DitmlnfXQ9GKvmfXtjIod6oR5z3Hjbb1EIOVZANom1nXqNloAq323pAUIS8wjGB0/
l/G6HLBEHsaps9iwen5Q4f0AvlfUu2GocEeQpyxV6mKxrN7ZF9Lbwrbfx2LtVFTFrpxdLlIDqQ5T
FlY82kyMhbzougWiDt9n3bU3hC1/BMeWnNBvFaGjL6956n/ILLaVjkl5ohds4ftVvs0T2chscKtt
FBtWwAKSOOh+IDTPJUgqKsZ7sqG4dNgAYPxDH183qQSPV9uBVSeHPF4+O8lQhQOU3hDXCIG37TWb
09d8WFCvLex3OnibgT24jArEWzdb57hOD3KtnyuX2QUMiqNrEuPYLDoVWTvtvEWbtkA8oOYZ1jFG
a7sh00JJxbJr2tMT+Qx7VllnPETw2KJzWWTHZGjvo6R9Gxa/31ZzdyXr6MLM5aHxEizCklk0pZxD
9CTPvS5l3srSOnTrUe3s6qeqHmTgzj73LCIKO8ILNxM0yN5hfvT7gYlyzZJ5qoA8Yq98XszB5HZc
COfA7IB4tWbvbxC5KJMnY36dO8nC1UbHV0nrnDjl8yL5RHUf2BztMJGH9eO7LY+16aNhAUeJB6rY
3IXlZkK06+uvvmG9rJ14m3QuBvKPH5qOL4yUJnNrFwMY/Lhqd23p3k4Z8icz0pmIzhpOvukGcOMH
/lQ4r8llxQa5sy0VWDVpxmYt3CsXt9k28cSRtBRokpG3HK2ZoVQTfUpcUu66In0tZ8wOkQWrWYcO
cujz6SMdxBoAyFo38+95LO/Fwb9VkkHZ8HdVEtjjX+zreNF/yyTlOvAAn6ldGHhj/ul7mWTov6Gr
JRzYwGDwO0fjuzRJ50WQr9lWYN1X8qPvyqR3PwI6J7S1cHff9Uz/QD6r4AE/VNQUSZba1Dk+CgXe
6/f83h+ag7ZurYE7LLltx4ymj84Xbb/tXnTkI+wX4nfhP4wK5QIYG7TZxMkqe4CEpd7tmOdhG5jf
LQSz1x8QbZjRZwaWmQix3BXambIRwIYOfpY0i1XTmMHkVYrworUSoO76aCw4/1Z7RbRQ9H6kpOqV
a8bBJB3uX9ZIPsjTTo4u4hHmlcmBZTO0mCKzNR7Ubmcf2rjjEKvKnqVbOxfdJUYAg+AcjY8bxuDo
0al4zlasw6i92ugNf++v/r30GeD/zaV/6T4Tgv2La//HFQMlvar2OVzwrb4vpL9f+yRg64r/ZaOK
s23ck3+sGEyyscFNeDagcGyrPyZgm7/hzlEOHd6WZG324v/g4mdL/NPVD7vF5P1J9OJ5bOreT0uG
FslZOkOHYWNIMIC5FjnwgNGPztrSinPl9oiSNCHHFytLTmkkn71YX4PGzb6aEymZ2mzP7oHuoZzC
1hTZUTQtjoUszeKApqJ+jLuJRFGA532M3VwiqkYiiuqrMbvPFpGpr0QmRUAEKluZs0EbVMjSq2jJ
dgk9SIsFtjew0HXWtGs7jG0n6k1/45NG3b/nUudpQ0Z1puKqF+weGmGG6MQ5b+00mhCB+98iT6ds
U1WdZmIxhLbMNkWiEkvIxS5G/dKQk93b4npd5zvdXK8ScrThY11ZdcEAPzkurBUC2+mYkuqEb9f9
NG6N3kquGsvZi0a7zaY2+9BE3hlpYoablBjv2O/1q6qvCYHW5jyUDoPADqPN1m3HyzL0Fy1fcI/E
aOKkBXSyrpE70WGR+OAMKIFTU3ZvuTncp4W4J2K6tIOpGKpbrc3Xa9OigiLGI26c5FNNrKTLSB3p
ZAn3k/m7WYN36JFUG42LtqXG6uePW1+a5b3m2POu8bD+uy0o364r95RqmHGhu7ONXTbR6jpbQ6+S
yxTPERGh2bhhDcVaQas/OAyqfAe6q5BMSf2x2jSGHqSpds1Qbjc5OivWsbE+9sR5uYR58NAqvJ0o
WHYWRAGRD96xvnebZwSNSKp0zceyVRmIn3oJreeHW/EXu63/GSspbBIlvYdWm+2e85MIgzzOWeQ+
bAtDJM0OvJHxmQRPL5hlTv76v0c/TyxbGHyqf3f0V8Nr9yp/8QTkdd9Pf8J0sKzAtmNCpmYkPwxJ
OP3RJaMVdhznP8bC70MS5zdf95GquzT+P5z9pv0bX6sPmZEZGDwefsF/8PhD5PzT44/Kgmkde1aU
PyT+KDjAj5PBsiEzT5LOe1OaTKSJnLK2tXCfXRQGtTs+GYPzMV/vItBQRquHBqiocYg/RoodxRzO
JOsk37ZgpZyrDMSUOecfS8Wc0hV9SoKhcgYwH9gDjg2AKhGTPEhXubP1Du6MolgZQn/RFNdKV4Qr
DORzSIcT7VbwV3MKOCWKu1M1I/PMzOSphGuN2fh5hX1dNF4XzGn7WWb5nZ+YnztH/7RM0ggY7l8P
U1YHMsmJoGqz8zhi+LHLenqSwntJWd6eK/g2oT4DoBFN9jEfixch3fVolQDMkcCSQbAe1tZ4mfry
xq+g3Djuvd/tsWaHLWsdwuvmj2OSPnupdphF/dR3WnxyiWjxewJhqomMQXKxC3mzyPTGGlf6rQ6B
RZp8q5vhwuCo3bTOfOOns7mpU+No1TtSITaJBJxu3Ku0WfjwQ/7cGqwM+RX3ZBUp3dG0RbHZb4b/
x955dMmNnFn0F0EHJhAAtul9VmV5bnCqyCK89/j1c4OtHjWpljQ9a+1m+ohMZiYy4jPv3Wdjgkti
E3K18BeF3TQIjLx86Q+IXH3tJLNi2BWt06P369ZDwfmMR17qiJ0EcSkcpilogvRbDVd51ZoNOpJa
39ZyDtGhdneT6+30mM5U9/t8G+YQ4iNCFNKc10sBm9sBbCGn/tDnKSJmGySpO68KiNCj9D2SJJ0T
7OprWnqXrBQrGaNfLqb4NASkIbEEcGzUy62AN5/qdq/uRVawMOSXUs1w04SNbOo0DUdrm8EwIV5o
ipButtl857XOO7kE+0A5W7oGvDsOIZWqcT84slk6BizZyoLPE1dLwbWUG4zLQr45rbSebCyFVUb6
IZ5e91Rpxj51i3MZj1/6bHwOm+ajrMgHNIbJX81S0imjuma7y0yC+CD2GG2x6qEpdBGF8Yz8bRmF
2b3fCGuZ9OOOSrjYsHfIcTSisE8KJOIRMlfH/c73cSzK8ipYCCZS39pGCvieUUrZk1kxpRbbtPxL
arCSNIZzMTOUJB7j4DftSQedZWYdbnZWKW7vfsTEQXphsMUQly6k2zwOTfRQdtoTxOa9nheHjsDh
Qsp9ArVH0/MveZOyWYCBwermJCyEyV1x7nqcVGDf7yldtqMfnUQnV/k87EqvYGVPzzkJCuvwwB2N
43eyjiXx5kOj3+mhSDfcZYwb2tfBYVzRiJmJSnstuzRjleMcas+82VF5TKJ+JxK2l+S4d/u4J2Vd
r89B6cDz78n6mOD3BeZDUzQvdMNHyp5zF4pVGEy3XE/1RcKPPknDDdzJFxQaWzsodpmM3P1k51vZ
D4pw07LM8qIlOa7Iw4I9A+b7TOtZ2uvVMuxYzHn6qz4St+zqabryzO42hDYLJJxTs4MMHfjkK03G
zulo06GUkJ7HXNbNz+wzv8yutx00RGIeE5qof8vxWVErfZ+bgHAxBGJz479GzL+Z6s5ant3MiDEE
yZOpCcjA5uwbLeugCZYVtUyPXtCdBLIKOIHtQjO8YxiGV9GnRz+Y2LAWwZkALiDsXv7RRyi5tTq9
aLq3rQrvUucIN9xhpPTRjXVkG8+R0Z1GQ7xYiYarLn6Y1VdoufZHCXOpaII1/qujEWgvo95fLcO4
6CzB2ZUW63oa3k2NCWhUBpC3KoZvRIDBVLc3eRdE28qFuoDBY/KYfLdRvUuKeJvk5bBqpPEMguZQ
IWhG4UHNqt33kTSWpnh0go5M8fmDNevDjMbrlNtVudcD/1Zm+VlT/ki/Stditr8YpdySyboQ1mDv
4lYKSEujucMjwm85+EwYDtEFFvpxYn1rAJncGEZpb/TI2joVbCIeinJpQqVYyEDfNVn32gzRQ8WU
f+qCR79udrnGVHtUpBZwE7znR6hlL20V9vtR3CVqta73SzOWmJOzkQVwcR3a4DHS52blyn6nEX/e
zi4WEXk/p8auDjw+GuOqVXWORGG67zvzAYyju9bRNa7cWmkZDVBcljw3Kff9GmWdma67oYqe7Sxq
OfylczRzFC+Zm/absAK0USHiJ6eOXyfricihTq95S+j+dsyKtk6Qe3cuag8yTvp8PWtRtTB7tsJB
34+Lvss+eoTjQubxhhuGGBkAQEQuKmUesVtg4PxQIxg4RZtR9F5/iNMxW1Ta9D2vG+KABLixidB5
K65ZnEU4QO00felRIzGslzUlrJtvjLBxtEUWS7AoWXBC2Fte88poX2PDaTHXz7WGfHaw75sBCFvq
zkgWh1S4Ed58CvtymNMVbcOJBKIDJJ070002YozXjjk/QxC8BVV97Cp2eI6VL80UCFZuVK/+APSG
CIJ1bTTA/pJx2wkfy3nbfvQE3BmJ+yZ869wPxOFgNMq6ftP6CNyt5rHU9QmoXPjOyfqsW/WO/Kar
bo+ffmwds5mPyQtx3EcM/BoNZuhsH50oO/tRajEcy1BcEMNQkiHRcUUzdSDCo/avMTuONClugGJw
FGTzvgzkyR6jnVHPC2Lu9plHtHqhJwj3McnK2Lr3huyhpZlDQDGtsjx/JDktZyuRHJk373VdO4Nk
XVIKbc2x2re+R/YmochOdQzK9gXO0jHNjUNtcdNa7iZxy6/MxNdxEtyPPpXCRKTH7IfrmkG4XbWf
WeidtJysXh66ceyOnZd+BQtJr0c2cKFHt9pEwmZGS0+w2rIyuQtH/aFJEHq1uaYtJ+WhoF+a8en6
fbDylB+282h9YmOXdeYrlOZlGhvjxoYDaCEyprSoFlGeVpzuySsEJTTENnwyRNJewkgHV8NeK+Nn
4AFby53v9N4MUT8Zj9OAgjkuXwpWgAzNwQxpffTNr4t+OcZDhyLXugy2fvEDC3hfK9cQgdfCd7Dv
RHt6Jm8TBP6xT+bPcrIvbcnCnvO9PUmThyUoBpulEsstum1j7U/SvRZGASKGVULKFChs9ftUaKe0
xS6rBdamachy8u3QWNRESe/CSb7ZA4FJHicN8Rcje2yX1BpISiPZrKUm35AI+psyql51kkggL3Sb
pOlTsip4165v7Dx19FSKcld44S6oYSWh3z6XaIGTQJuvmlkfCfDGLCQbIEh1xpB4BPkwVflK8P9N
wGONvnoIorHc4vTasy5AUtR2pxmLCcor8Toa/NBilMCreoSqVE3iYiTRJRmSpYhFuHfCuTkBO1Re
WuuFSLDgMNT+vdekb0RViZ36uUvM68RXcZsndW+9uWH7ALbxnhVidPIsMiSNch+U+qMZUNEUtk5W
TscOo1jpqLKqQN92jgATZ2ffUckj8bBQJlruI2KeQ8RwP2ET2JMWiGWufQXxcPNGwIF56VxiIwC5
GG9Idpxgd8bPVeq9idG6ER1RHG0rzoH0SRzCrXibM2/PMEEj1Dpi/dLzF2uVsSmMCBNfLvpdnKa4
w37IGoMfEsfRiE3aiBqF5dr9TQeZWFJbm7/pI//Q8f1f2mzAA540iTI26KVwjP/cQJmRrqMYzaNr
XGIPz8/NPC488fDvX+RPtBW8iDQE9mWybn7dYyf+WFta00RXfdpr+VmHaqKJx3Z4/Pcv8/Ms7IeE
g8h7htSCoTC7LvXP+MMk2GdGRhegU7ib34fiSbP+Q3rKn/z9zLmxRuOQ5uP69bNqyA4uCpml13zg
Qdu5/vtf/vczZDT5hPigVCjgz/9+2G7sZu0qu7r0Hfad/Xf39f81XERJXH76fH75roVMDDb3fD4i
22rZMjE2tbMSrNo/03j179+K0h3/rEvGv8PQBuexzRTH++WrSF1WhWQ2J1c93sEMaPVFyQ5VYPRd
auV/UEGrf/avr/XHr0VNkv7wtetGlCHxTdNrCRWa3E76rnalRFD95q+/qT++0C9vKndijwSY316I
hThjqDHccI+oq7j8D8/aP42/WJ6w0tBBG0KvN02lI/rDm7Ls3Cy4ePNrY2389L0fyTP9+u/fzp89
zn94iV8ft5kk4CLAE3LN3ffYfxPa/+NxVjgTlkCgVXB7/fwW4iq1W6GZ+TXmBGR3m07x8t+/gz/5
kBDH6FL5vpSeCiPZHz+kXMup76VRXGfnfXAunRJ7tP/h7PqzJ5mHmDWWIK4ZcuXPr+GFGdhxd86u
hIMRU6jEFvZ9D+UPlYz1H57kP3ktCJSmaRoqXJ7508+vFfoYGmDz5ddQ9dTrSOUkrp2KdfrWvP34
6P678lFuvn898ry8lzzFv2LM1Z/533Gn+Tfm8UqjR1CNIBPnD8tO82/k5MANxR7C5kY5EH8fd7p/
Y6FjWjTpHmPIH5bG3zVhbIlsSGgsapTnUf9rkFJLV4fMP0471p1qpsophAcSmRlD3p+fkbpqMmH3
5nwtywadPCUG3nZMTqU9PRlxtfWVHWxA1+qX3Yfe+V8iifNVHwU7Ej9FpKI9eX210u3pbM/El9mE
OcLob9GXRFcZpZvJd++Y+bMYYLWJz0DfJqN3Hiz7VGTF1g28XRebNBQ53mdobcs6UPZqOTxIu+g2
rYVQXuYAyDxymHoRnB0JIFED7bVwK3s9megMKo30QSva6yyflqXpPjuldUfhf7XxWi66Ou+JuOvT
50ROW39M4LLb3n0aBw8B5WFuo3KZbDJXg7TQWeOKz6EIYtY/Xfmet7zOZPfbWauDpdUFS+x6O5oW
fQPmjZEPMQkMQyId8GZQHjodDoBZDjk0RYiNSVgtIxCOHijHAEm6im5gwtVsux+4x0LE21ERIB09
VOztXa0EJwoRWTXhqlbQSBN6pKWnYCThSfoKLOnWern0EyaKCjrpDfKhUhjKSQEpmRzzLrxaXF1o
lbnCVhazJxe2QlkynrtIeDqWglw20C6bwH2MFf4y0qydgIdJlZIvUOYT2Akqs1HQTFPhMzU4moUC
alYKrckslBTF0d7Tw40rEZQ3zJQ7UmCdZajQnMEMpBPChr9neqkvDIXwLFm0RbQD61nhPSsfCY0N
8bM2aND6ysB8p3CgngKDzhBCQ4UKhYQbrjScpZv+ByM/Vbj8RPr5XiqEPmvsYTlobrIv4euPDqD9
XiH3qU3jbVvYabWrm6DwH9zB1Q6GDL8FWgF1G7/EYS7DaAk3bV9XwSPjWsRQrbkTWtkuOf+hD3T2
uses4vZ5cczd+tw02fdizOuFmAdct/1r2TAeQnv23JkVkAikmMveL1973CVrsPGnLh9PWaYLbPzx
/dy6PZ5WKOiDfUZ7xU9Ce24HQ1+KYd7FJp2LDMSVHd22c4l+jVDhkcdbsNZstggkT+wAC2SH7Ze5
9K+9njx5I1PwzPb3gVkhSCN6fhkbVbSu46LZRGH+7unJOQwI4EiDcA0n5pyn3q7lgl4OjvYN5MBT
oU2wVLUA77qpf7Oi8rlP3BV2KrQFrmm897W91gztDTA5TIjWPVsjuh1jksm9TMQXCHZKN/7NmZsj
rfdlNhBBRTMCefi+Y1GY55xlYqoz3yodebTGelnXdNCaGd76QO+wRk0wyB8TbS0m91hGgN37GGZr
iBEkLzW4yA7A3yS9JzBaQ6dWv5Vae4tl5yMum+9Cm0BiCbjEGvxVFsVrTZO7WaVHA64iRrYm+RCV
1iINvTOunL3TJ1dEFstO8K2b5EL2Dlj6JJu/eLJvN21Ww8HdMUoDWauxrG776tQN894row8ig4H3
GQYMqcHDfR0/tKn94dXkf4LeZWJaOc8QEfKlkfn8iIsQN27YYlbmLCRtIB23TW5O2W9Ze/+9cVVh
969v3MeugH6Uf/7zrav+3O+3LnJr1oWGw/VK5/PDrvm7zIL9I3J8YAD0Xnj7lf/zH7cutG4L6yOQ
Dv4natv5+637z7SAv7Bn/C3z7B+37m/4LepMVtGkvVGT/1IFGr1NUHqRZdfZDg+MolWKAxYXRJNz
HhcbtNEQbvz0LErGb6Ca4JMZ24hNWdhpe4B7K28w73OmAJ1lHIamfE868Ubo6BIky3mcjVPgid0c
crIlWjEtQyd4a6b0vveZGsos43yQcinUngk9ZLmcjQHh8sTgIE2ALLlZm78UVsiisHBPuZXduSF4
fK/wkPPxa6RA+JAw/BHp3YVjcS0BLC9KL34dDBBuRS6vrl0hiugSpbAkybyTxTd63Xhhj2G7nENH
okNMDAiE7qltnb3lYz6fxs9JzGfS3z9Sny3O1BdMH4MtFO+jtCmOi15e7cI5pC2qBi+0nyzsFHPR
fhkgqTYqC6M2GN8NnnsnvPoIiOYaD8klHuJNqRk++ukBz5OTaguj1l6ALZdcjyWlS3wKa+YUczlh
IUzaPdm2HK8JAuZQekRwx96X0cnu2ASyFXKLS1nd64W1yZJoPTnGlX5101njbTKgNcXAUy3IgpbB
MibVXnvhM7wks6XrIIf3jPeJYfpAh/9UasgWM1KfF8YYX6aej65KYCSO/rhqEpk9V2Ivp8Zl4+AG
mCIrp78EurvxB4AwmY3wYur6hxBCCv+3Ckhu0lVb5c8d/wy/mudlEmnjAiT71o50PhuXwG19OlY9
30Mca0Q+6266KiYXzclk3SK3OA6D/43tBzealI+ikDcNE8ES0MvJy5DPd7aDn7CsUryN4U3j/iEP
QZwYrdO6VvGj6+dfXZ1O1s/uszD5Bp3vOfA47NnbQ3/mTe1K34CBB8EWaswYLGGEbSyB0CRy/GVa
RAljxG41e9nOnpOtzjgrMVH75h2R5WbTfSKcKldCchPpTvkKshXWUpmeQhjnyypl9PvDRJ+PRrOw
mprShb5oMQNIWEgKyPM81Xgqkxu1rIs+OqbtijSDkaBLZnYH2j2t8VAh8T0ZWcIcv3mNpHOyhX2j
soqWTuQxbzDmeZvlCGFyIFgbb8p5Mi3zS5lXD27PF28TxTPZ84Vi+Zvfa0jBe/vmle6tQ0EzWFQR
hu/vHZJKFjYPPVWvu0EWnS4ph1j3BAkM8wG8VlzV/VKbp/fAmlEbNywxUj7RRavVh7bXVnoi18bk
oCJOs+iKmYNMVzNbT8kNv6UR+gJf8fyuJdN728vHYOwfk9TgxnLvEtNMlkMwi+Vg4hezIu0Zy2O+
aPEDhnO7CadeHojOIiAaHxxfO7vBXJve+V6ng2hsfNug2hOM5LByxac5NueU+T2zaXIqSZRfI/l/
LyDgT2WLQEoCN9GdqET44DiLqS7Irq+GBwAVBZUuMmLfDEiGtCT/HiXbHjqeQP77d1NJuic7JRlI
ybzdVLtVnf7ZKAG4kFl0KNCEl2jDGyUSh1v3WZb61UE9ToaypNZAUJ4zK95IA/2YEpv7qM5H6Oir
TAnRIbjlCxKbelSV+ZtQcvVCCdcJLSKWRonZU1TtvpDjrkDnXskIxBxHo0ABX2FrXYZo4uc2vDap
laERVY0EuvkhzuCSiuKuQlEfK2X9zFmJ0p4Rt7ksfojvC+edmIYDiq2DqeT5gxLq2yj22UIaS1+J
+FOSe0DX81CDknyDZP1Wo/gPlfQ/ILKRJJcO+gp7NoE/oFRGgRrHQGdpOPEtsCCDshMA8vqI65Sj
olwW+A046LZBxaLdxIkw4UhIcCbUlWuxzulehDItGOBqVroyMszK0hD9MDeg6FsUyvCQGhZLwPgh
l9Z2LrFE+AkxQgnmdQ/ThP3DPaF8FFYpF15tPvfyfmhIWHodoqMIrfscxwV82udYI4YNJ4ZUlgyJ
N8NUJo1S2TX0WH4aHPRrAycHy1R+2srcoSmbh6MMH6myfkQCbY6H5QWaSe+ZO0eZRLBArMEnP+Q2
0RjKRhIF3QvE/nih4zCp2gvqQ8QiHTtDB+Gt8qGAtI1Q89TsJOroxcCsQnhMfKLINJD312dPOVqw
BScbS7lcZkbSi0Y5X2wsMANWGMKltGUj4RUujCLwWP90Ft3EWHy6VJznIW/BkYG5s52XuMiGbY2F
EidrNU8XI9SjZdjwPTvTLOlpWhbGBMFzfh18MjSuCIeKqz5r8w7pg9j3TngB9+y6752Ypu08jhBW
S1cB62RMmxlsMts4m6W95zQ6SJ9HhwHxoqa9Wmm1sJ4Rj3BC9CC8RaPtMH5dhGiCXR7qnwRAfPpT
8MGVw24lHHcE+K0yF7cnzS5ZSfwkLaNYJWP6dYySnAYu3Jp6bFJwA8rKA/mKgxTOitHG66EK15XR
FCyv5w2mfSVHkPQH0NM/Wv1gCP+W+M5OI8PiEtWAdMvRh7GdGcsk1Z/4+LnFjfSzHONDj9FsA5/h
ns3zNnYbBrKWk2/yEWAMcfXlKmLjuTCq4TVvaTLGVCEEVjK1nzKvupuquKVPSwhykJs6Su96fif0
KOOGxe2jU4ivHK53qBnyZRryCESyuhlaveGAg/Ylaq5so7nkITs5ZzZ2uWxNHDbZ1fHqaYHZiAU/
2tN1PbY8D0OQIieYIerJZp2NKExLKZpFVJjvc4MxjjCkrROh/FQCM4rc17ouT6OTOsQVamuDyAR7
cN+4Wuh4zRu+kSO/3B26N1BGQ/hUzg1I2Cg9E9z26CbGiUisI/nhL3ZpvA4+3AV4BC+NOZ6LEaHT
EHlw+zRltbOD52zS6U+0dD9Hh1rU5zEINuVgApuKXFKVSu5oTT7BaDzP0KD0PPpIhY3tG0RFY02n
npXfbqqndp2P8pwZSFplxkGohVvdjuSqsgWaCPM06POxqy2LlA6s3XKWL/GQZXeWr8+rAFohFvHa
XMElnNnXM9EZGIKhRMsnHDoO66m53jXCLFa1Hn84AzWMO3Z3TtlYW6+G74mMtjllVY1dxxqOKUoi
DiV/m6RwLbxsiKk5/ZYfl83iXTyinD1IwHFbhMd7j2qrRCVnxXIx9578e3Drf9sxk/3Iv27HLp/9
+7c/G4Hyp35vxui4UI8yWEedbv2g4PzR72GCxyEtni4IiTvTyd+bMXizpoQPy/xaV/GPDE5/b8Y8
/j77B06NhAnVpv2FXsyyft73/JiAst3Dp02JxAv+qvn0u6i0bCCMVygB1uQwyfMRH42t9zTOJpTT
Cf6CZ+Ynd05v7iQ+pjLVlg7XA8RqMKFT1JAO03qHJvGuls7yZtTkhxcm57Tznue5erKG/HvXBZtK
kzBrPecN9XO5cBtpLjEjbXUzOxUQWZkg9d4imVn261W4JNJNoIlMniXMNMoHUtUMv0IN6aeLwrRf
k5SpwzR/UEujc0y83VB1T0nU3oEmvUSs3bcwiR4yELkFlfbF79tDMfQUYVpzNFxUIyNo7mwseM8z
7FlrUbndvnPDDUs/HwU9Z2yovXQwOz1qQNv0LmzhNrMIqe8dB3BG3iBUH7oVtcqmcgmX435c4HD4
xoV6bRJDEhhRTQ8zOIGo9wF5l81yrqjL7NiKmKMKzDS5Fq89zX7L5gTf3OA7gLz09OAUkbeqBqPB
l+yrGAowGIOSeno2wnUGxQNpNpaBk28qCyQa9jOnJYzzAB8jOoWOGSpVK+3EYpQIRZ+MYYAE1NOV
4iqoWp3okLjta8SoQUyPHAapWPkFIkz4ESfkTuukmbZ6Ou7moZfrrsEiQG7gdqQhWf5I4fRt40k4
2HUyh6KT+KNUb7xF385fZsHwXDY8OKHfPbWgN6P0s/Y5S0VawDlr9lPXHcfawRkQ57vChE4UJtAo
Dac/e3rBHhVtIai6l0nIQ1Yi9sxsak/Drp5E1tyCTDBw7RdDOeyxCm1pONHl2z4O5cjf5U1YLIPK
OlKvGAtPK539pNFjALR51vraXchK2wyeCW6ox1uNI9P1h/3sgTzWCyo2EeQrr4fu2VflNopCZ6E7
EAJNf2N19qbRwArVdfc8I4xKbfN7YSnsbozww0WJ7CdPkxO+UXLejcj9Sf91d0k+vzZ1nvHXhzv0
jM4yRdCXj+0h6xye5nh+7VsIvUb13kLOdWzziIN1ZUTlm4SyvPJhmoByQ3uU1ukj07unkD3jouy4
WHUnOSZjuy5nLrnWeasg8C3qTp7JDL3Nodjqlk9Bp41b+MRwqLovthvcSCrYOEZ+tQSDylL3+I3N
JlbqHqaMzE/EB17APG+S/FuCT7dDYAGqyt8W0aBKXIEnF65yBNPd1X3+C7xiXrt5nbtmXIJoec98
P1/aegKyqBEHAzYPZtTpUSpG0FiksEdq5zHPg6Nb6W+zG55Tb7y3THIbdaoqr8Khkum7zIMWJEHW
ImvjAfQf0xj4rR+b5L0Kip7eeOQxfnVa7GGGX1zaSN43nvXNo8Vdx9pwV/h0BlljiCUuWGcV+tCU
UhmiRm6Rt9mUcXdT4t0SBg1KGVTt/T7U1+RyDptceh+j374naXXnQ6vCH277K3hdmMinymPKbB9L
txF3s+VuyRsIoRtieXkoc+OrP1mQp5L5CQvLyZqDDwPRVpd20y7zPW3dJuYlhB1JBR02G+wgMJaS
9rMoAYJ1eERoYUoiQ9uKOWvr8Ql4Djw9O62XvqhPs+EcW9M4RJ2xD8P2ViP8W+iDtZezuIyddiwy
3mWUVKuyDXXEeJpYEXK/isOsowIVv4kS/nvlK3XAv77y79L3r5/1P89f1Z/66crH5/t3I4faOv7v
/BWLJ2g9YUmUNT/2l3+48pnLglzVTY/VuK7yrX6/8hUkg72nrpbZcFwxx/2VO/9HcNQ/5q8/7nwC
A12WcLA82cT/Mn8lLpm9hnCGa0sOwlK0yUvRTzen6Pt16gXXzKjirzip8kU0WY9Yo7k8LI1dkjN8
10J9gxVFYGzW0DrSfOl5iiTVQXsa1f5HHbAEG1OnpsLNb8JjgqkT47gdev/sZow3wtL56KzoQfbz
S8i+CZkndmyzFMuxCLNd4pQHS+1iM0f5vL18M6fmA6+1GlqjW9SYoJmsTsYidhHj+7M8t4n3hAKI
RUQSfIsb9ww0614X4zUkI7hwOBw5gO7NUNc3kPghKYj+bjSRPSMUkQvHhN2WpYSfc1JRriwtjK97
armIO8bYMUjKNqQqEy6JAnvdTaW1thJ/K2E7MPfK8MaV4rH2WtBZHtMHa90BElhUtR0tyfHbzwas
pzYPXQTo87PtfWOQuKppUtipHZy+fe30OVqWccOo0or6RTdR38i+Q0s7Tp+9Xux7wyEni3mlp4fP
gYGXTzXcqcuMFnEgRYbaoTnXIXIuagsYFPVzodkfmFyOsDRRkc4rCSqvAlrX+cm9OWFICGx5c/mE
/IhIJq2oN0OaXmrh3WSkfyTjTHSY7nFM6gC5PGd4ykzxFiOjwkJHgEqfQ8XqmDF6o3M0YvdRS1Hr
ylknf5LcyiGPj7PlP5VjfcGHcAzqBFRomn7SLn0Ze+2xtBCqh+MNXuJGl9orgLSvDE6osuyJyOuS
+KpZSanNpvruTNOD3mFBroR35ms6DbGDRBLmifiOBHztm7ydoZs3pVM0K1NEDwVeIRm7bAwDZzvH
jr2o8+KLlcs3K2umZT6N76IbeL4MLBCZCo3u2+Jk9CnTyvnFq61sRQu2JZnq0MlpV8j2W68JsFKh
9Wizowxw+AGKqe4MfSCLEqeH4t7R9WpTvNLCzgX25ipMSvIct3xIM0XewubaXojMvLWyXHtlxnQh
q711A3+RaIYhuJhd8Tw2b2m1t/jNvWUs7gsFDA4DFMZzK2A/TCEJ3bW39xM1jHKacQtzFvxrNwjg
yUYMsiTk+NfK76yuWw9xdtVyNYV+PK3bLKnmp/5HTWjTzVKtBeQFPOS+RYWF7PU5EnGxFtSUumcD
nKfKZFBIuanqTjfGqZl7W3AolKRgM1ftUKeHqBTOGqKh0nVbb0Vvx+tZ1SJpyCOdD8wEQkYSEVKm
pRZlq8D1xge3pAIm0vM6hvM3ZbEkr9FdMWzd6NTSXQKZch7xYuUMlFagPRCFOpdRENBGJT7r7ktE
ZR66ts9WACNI2+4javcakXdKLZ9G3aZU9dtMlV+U+Jg06n4R5sElpRNIhHzg0zW24N8vTUydRs/g
0TvUlsCk6g8fjRTPRWG9ZroD1ph+I1ajzYp1gjKdPNuh4uvMLFLR1l8G1bDkqnVJwvSk08vwX004
JMDmKgBqaINLRr3auraS7xOdUBk7z2UVnfHvftQNaDU9c66S3kl2hb4QVUj8NWU/0l5217pvfOhj
fHPpvfjyaMJiUGtt4jxlfT/wC7FaNTBh0oTqV6q7nhYPTzzXf9HyY5r46TkUBk1o7htVKRBEfYOx
Q9lsHMCfHv2uPSWqtsCmjYFukCH5Phlh4VEGTdoBuAwndAYK2X5qaixeeBW5r51HxkKpX0BTaute
VTYmJc4c+O/alJ1CSh9N1UDGOH3VVFU0wbZe1gNGokYgr5ggcjhB9XVAOImfBTEHRctT5DKvLMuv
0Uz/GZh69ojaYKfl5pNjdtnSJzcDC5hPinWir1wfF60c9k5WkkooO0bB3A5lC2JjYAGfpTxrWEBw
56Zg3OpDrascETQ4+RrXebNp/LbxvphZ0zrnH4XAfysiNTT41xWRggwfiveq+7PkOPVH/1AWeaBG
GTOYv7r/8b7armRHgOSLtfUvyXHMT0zH0tEK2z/lbUITAJH321/GrOSvTUJ+6AF/qopYfaMVxnsr
EIrBwP9ZC+YArxhHMdXXSesl55gJkIqqIndjNDdhfo2EPNMThhdpk6M+S/u+oodYzIF+s3xxS+ru
s9DLCnJniLmtP4aOsem569g3LbUeO0xunNzcWM0mT3kvRkYp1kkn5GphddkFkP/GD5xTE2ob6JX3
Mg6fnAnW5NguXb/6dIXLgtdlJ5PvExYPIewMAhqsve2Gzzi4luCu7qckvXSYMHG5XZiCthjUxxPm
1a1dkxocBU82fiGNd7RO6+HDi9qzTwRJW1tfrCDd9m17yH25gbFx7EUFITS8eAyLPVZlMHEvHbYD
q6jOeLNeHEEKBCYyD3aqlrBqNuJLoRlr5pqrqplXod6/eVFzF4bdORimZU/ejMDNgY3uUpuA6L3v
Db5AtcLpMOZ1h9lz34mIZPcqXuK432uNtyK8E/LNTMhEvMpKUjTL+mFqJnQyY3QNbIdqEX9mLJ/s
JtvNU3PL3PYjN8cLrN1L6FenXqpVanfI6mnXVQi3gLg6cQkJC6+e7+2tQNyckCWiq5W71snJDEmH
c9JhcjKmCnxm8m4VgvWlXIbgHhZpBy5Ra0+Bma3moIcHjMXG0W6xN+4N3X/+H/bOZDmOI9u2v3Lt
zoMWfTO4k8zIHolETxCTMBAEo/doPbqvf8vJIotSqfSMc41kJgpECsgMP77P3mvbCtseWBtXpMaq
IVkUqQxbEunN2iubc+oXIwcJcn4xyyisUvfVG0ijIvDTBuoQmZnqj6ZJK005Tp/Z4oAEbdtYBwP9
rcQ16vw222eAkA99haHoYi8LfPaM0Je1G1qBiwi/QThMBLqwpu+qRhYsgeu7vOrro3DZqHYNA4XB
GutMfGUIhxmefjGhhASCpFdkLdmdaZi73KRjm9DePhPIUNgP/Q3/SzTlmajShpCsz2soab2vZ+C6
RntPMtghDjjfp/bchFxeoSdYsK0W2fOMrxsgF3H3iE0P+rxLPVRW0Brnz9h+KXt1qPYONPNBM6O3
imUcOuNlMZ2t3ebXEP3HUJWQwsd4x2J1pqjkozbydedWKrrtbFNiVKNDWG5Md3Z1a1agy2SfhvXQ
9UR5iCMihxDxq+3PMVnrlQ66blV3eDRwW7CBUa15U/YlAIW6GmwOnGHA3JSb/ntcBy9iNh8dx33n
9VM5VOkAnsH5hlZNipy+lDqk8ZtdR84sNnBjqIs2tPz0MiTlEcfUkz3NX6WnH7PAPwLYAh6msTaJ
kyfW1ZugLJpr9pDNthxYmJhSc89VEZGHSGKsjHm3MZPBCqXNnno0xPOYLfyUm/KLVqkJdxpVLi8W
2yyfDpEGqFon+xosA31dWOTINF1S3fusGMqTPcDJmkret567t9zB4SsLdm6txoxCPLWmDaaxzF1U
mc896cMVjyluDfgjY9mtpJs+zzHCZaDZb2nUlKFLWVgg+8+abMPOhGoyRTrh/+ijFbNRnnFJLqbE
40f+jV2xyS2TddLS1g/JyIitZ/MMXYzf+xRFzxZdUpRyRx7vL2uLqZZpB4vPZknzGesgH8sWmhAv
z/pa6qh+QxQrhbNF7EhpTiybA0FTl9c2HFFmLlMJE2xeoDKX1mFMdDSX4Uno+rEffYLTWhAwJrMU
lfp0lSf6Pb3kJ0ckD9gJYIJlBJ/bbFj59miF7qRdpdgSV2LOHwGyM2CXtRcWXg1ILUlysW3HLk7W
WqUMB2ir4OyG5GD39O4Ug70Suq/tyMXTiCFY1ImurLaTNFHL59taEYo8Yypu02pI1//MIowBcDEQ
K/77LHKXDu9kHL/8hUFOfeGPScSwP6j8AWeqbn8bHH7qMwZWN5Yu7EECvh1GsH+vZOwPOqMwrCHc
4jjl/oghsgGV+sQNyHbD6PitpoNAmc5/HUSgfLgmnYWsZOAAszP64yCSmIIgIVv0c1s1Te1daYU2
JxjQbL2D/E9iM78E0rRy1q0Rmgg5vGVrQIvEXdKnDu5nvbjIqtH4ZEzawXGEdZY0s4Wj2YkTQmR5
jwgwXuRk11ci7au3Pu7Ho1mO+b1tjO3Jrjhi1v3kvUdmivnZ9qOtkbUOKK6mr15QUtCNtYFRvh3r
FRoPx4XBE7kQ9G0zOn3VrHS5Mzs3leuA7hg+PCxS6ZzAY+Y24WSyNqenDphD4uU3ZSmjB5NyvjtZ
a0Vyr2dOHnfgCo1mOeBVjgjeAoay6BTzOKP4hlInbr0aWLa0SUgjVzW/MlkOty3zETI1vTzsMxZ3
0K9dt842pZM22aPGo1NtOHLPo2rFbVqiqRZYP2eYmxewf9bBHugZX5DgQm9BSa/no9/XdAYrGJM+
tIFzGhSnCXcKyKYS1ZhLvgI5aY2COs2psCz2/112mEnVB2G12HeL0Q3e3lRsqApIVJ8V9KW5nLJn
B77HwW/8dLhbMmzPc+uIxVonvDHHc0lhg9B2/zwRvj8R2I3+9yfC/etb+1qSUfmr9hO+8scjgRuI
zoeOG4gJGOfbB/8XzdZ3kXN//Alf9WNNizCLMUvH68U/TDqxf9VsdZpEDQ82Oky633wmQEP+00OB
pIrvqVfH9YRNsqPSTr9G2LJBIBlM42UqfI5V1rZbArvZps7UGm7qWU/lHdV2jj18woJ1qsGq71zd
9xAW0nSNt6ULI+Ebd3Hsbsg9oIDNwlu7eqqd9H55dSJzueZAfx/dptt4JMtXNZMIZ7d7Fmo4mQer
2dbT0FyTS91kTDA9fUkjZoltymxT9ubRbo2v+TQ/jcw+np1fGmYhzzD3QYqWi3Ek4fRkYMoKaPmL
GqJYKXbQwZA7EdPfM89+HF3tJR+091GNYF4E2Hca2eCJqvzSlExcuU5xBZ//0FBD3JgTNsHO8HlW
Ax4oV2NdqGvPoMY/OVdPiZoHmQvdCt6O921UVEMj3SkyPsfpwa2tu6ZzoXtE74vClYgbrn5jSJ/U
tUCfXKbsY9nQu8RkmgjnYVCjqp59nWO1hmKG9VsuQL4EBDQw31YaDplZjbyySIrt1EOCbgLqCVsm
4xIoaNirYZmcRLa2sNwgnjNKL/RgrEs1XncRHGmtd7uQxpB9nrDmKzVrRxdWdgckxuTZyRo1m9Ej
jdQZQqfSrHOrRnpaMAfsTkZ9xLV1V3UTCWx1BcCif0DHTcPWYiaxgTruZRTM+ZOINS8+m91SfoTC
C0WuAKLGj29Y1pMFr2aYUso+Hf9rR2h9SoZL0lMojoaKbNJ/k1BaZ0m/4Br0NHC2BCxS24i2dBxg
CabOZU3hIxcacxbbGhfuuVzM9JE0yhMGsIkBNHjJ6XWGL1Snl9GmaUSrJeS72X8IxHiwSmdXt5Ek
7068pjWMR03SYChZd22maBG7YaS+rLTLZuVhLrp0gmunzs/S6obzBDfpgXcAaSgKyCFDF9ONmNHw
fTnWD4ynnztikCcvNwe20Ml7bVC4udizjp3J4O5YUcSpcxcoNcdAHevlvpVRuzdhttw3blNchsoT
D7kJHqY20oS7fP1Q+X3Y9y7SsOTwiFNnP7loy2D2Qf5A2OHmMMMUCaK1ZrXTuoQEvXFSiCwkLonE
pJF77Gf9dYrqdZOMT9xqKDQX+ozDp87C2A7AGk22dtC0YHzJs3GEVNNE2BN7sYOOnb/lgOn2BYCR
1dL4x3zEwjYQvdm0Pdf3sCU7s3KdoL0dLSO6Skjmn/1hvu44qdjrErvFdMAnsxza7aT7U9ibojtr
/lKtOiMHveNMy+af8+j7efS3CQ6llq3e1VjF2SN6AECHL//3v8bPr/x5Huk0TruEGwhOqkmU6fWX
88i1WQZyHJBBVwWNP88jQHE+Oz0dty9HDorYzxWiqyIhBIN5BjJGG87vwfS9/7ANBaZj6MyoJutD
k37JPx5HNFk5DpEpjUK5MsO7fhjSiPdk4cJ0UOCr3Jv3mkJhsX2+5RTCUawwWSO8rHEGnIUDhZZH
XLswFbM1kiFuSQXaahRyK4W9xez6VMHiqvXmjKX0wLXVv6oVrsuuYBnXFkJLuysV0CvuafRTiC8H
1hfcxTUB9m4dWfptoHBgow8Mps3aj/rkfZ2wM2+zsb4vzezRM9S+IUdclxoreCyTz7asZZgadVjm
GKmzuAaGVGlbQTZhhTVyN+Z0LEGbAXMly2OyeOgthLE4z4DUaGE02S91MWjzbTYO/rAtJmMsccir
RjsaLvUaj5Cqvgug70O5DLa1QeZqUAV5Jo8voB/WZlDleblq0VN1eoGAdl/hj5d69qWncY+O5AB0
nO+srP66GB7NrvJY2FDRR+8z6t5c3Xuqvs+gxy8DO7SaMCJvALog/lTDyY267tjo4jMsuawNRZFU
+obFG0eyW9rmbZPHOQw2zwlhQz7oFPjkHnpNNyG9c1w/C7t6oiOZ2MsyVVec/vNa82is8bB/xTXp
nOq6M7pdCdqsCLzj5ETPXLWQU3NrPtDOtZXC1g8Gqx7ASd0MxQcXb+RCDNELBmBez0c/7tPjwG5y
A0J8XPlGpCmUXXkh0f3A5hPjVo3NMYCgZH9jKfUKq0SJJLCb9httyRj982LOt3oHN153O+rF1Uax
rfX7mGVw1IBtWlrr0sBx0iBNMQLcOpl3AGW4ywe5xy3fhQMEqN4vL1MA73AycbzCiLJLfvPcepLM
oeypzD5Ss4STNtmNHG1Q/1nPgpuawE7V4KdaMFQtOKq0Z5Ws+FRcAOq1q5hVC/CqaRihWBlY9Cdv
vsIGrp/4lSNMyOw9QzgcWl6bNsfOxlJkLBdEFonZnQUyy2zpBFcMrV4WZ9Yvd6Wia82Ks2Vp9n0q
x89Cw4fbPbTSMNYYa25jAF11B2CvXo7gEZ/0IBvDDJRXB9ILeD7t00C+0i5/KRX1S/Pcba04YBZA
sESRwQzFCGuAhQWRUW30kiufu2DXYzZgM2dymFWdFlbgxkzf+WzVOjhFBSKLk8sImKxpRxVVeSoU
sUw3522jGGYpuLIIqFlWimupKGeJwp0p7hnZxqtAkdAIL5+Kgv8MRNrYw0ob2/LgA08benHiv1xA
HFkWtjmnJ5ahYGvgYGY20grBlugKx0bdwqcMQJtwSK60CtmmdXt4dJ86UG5jMGzI9e4yy3/pQb2V
kpqHitMdj926BwbXxvXzrOhwphpBMVNf+YDjfKMpQgPWENlO6zkFLjd27bpQtLnKt28t8HOEz29N
xaObl+HsDBDqJlB1kaAXO2jrfQLELvXzj5mZX8V69+gJopZFpt/1YO/MujgnYPByXX6ke+m+VXy8
ElCeXSqnZXum54LLACS9eEYFyIDrFSaaNbA93iTHStH3EjB8XUSGWHH5JD0dpdmEiKHFdgDdV4Hw
0wLjpFkw/ZpRO9hA/nRgf33bHErgfyMqYbDkVxOM7L5YbvsB3pASsi2wgVPNW9ZnACu74jECLJgT
dbMb59ADHOzs+kg1/cGwkqehS+8dwIToMQVt5BH5PohEg/85B2FoKJbhAtQwMtsryk6PQtEOO7CH
SZWfUjCIEzhEbCTUbHBbN6pGX2eEfewh3QoQinA8TylIxX9mk+8TBrPC392V1WzSitf2S/pXbT8W
X/1jPkFCMyw1ZQRwub/NEz/nEzQ0WltAOOge1mLcy/+eTxz+hCEk4DZL/tP7tXba+sDlG0gxEwpD
j/t7AwpIlD/dl7mEMue4HqscyL0sD/84oASTo9UBb79rjaRW6Chtx+fOeXCV3jN8k376pm9BBs4a
khCmPa7EKPFd9ghDFl/uNwFJKC1JNHVMwodSoeF2+iY3ye/aU0xhJ0rUVAzE2FfNd5XKouOZXsdv
8hVCWYuW1X8Ttvy+p07GIaG9EhoUYDaHS/ZQVpzh3PYyc13k+nyfGD6lvmaWJdu6LmBhw/zeU9+L
r8KR3pMwBg2AJv7dpxqXJFlrp17mtS24J621rhHr3Kr9GysfagwvTfZJc2pnD1OGkh9MLhF3MyNm
i+hn6RlUgS8p2FnKeO2nbrQOKpNeF71cUygvAUt55bXniuGuBF6+aWVOn0jqiWEvtcjhhtv4LyYd
yQsW6aAi0oD5dFp5fup45PEL7w6rCB0TS1+m+6L1lrfS1GiqiO25E+tZ5xA0tzJwMm4mtiXho/qD
1bOp5BfShSmdIZ9gTRrGJscZvrEzgx3sBpkQZQ+VbliUmXu0liXYB7HPfzbXbbzzkDJuu3bIXrCO
dbeB13lU2ZB+XBUwyh/Ksb4OrK7GIKrx07wRWjzom7hTxuM4qmRzSExDRhc/NbNPObD1hynAvslo
JOE4jEJPi71uid5TW7UoOzRMb9Ox9FJ7fHdHP34PWG/v4IdG8EGTCiBeAOWu0zoKJjXwULmfds+J
ZdTtpeEmxxHVr/55cn1/cnGX+fsnV5i+x391qeILfz603A+6z7XlX+wYlar4canioUUIQvGhSKx9
j2n8EPmsD1gm1XXr3/etH8ZM8wM3NAuYt257/u/eqv6qf8C2TAhVFokQrBK6EgF/EflIRyVdAqHz
TEYKl5FD2XtM6YXr5Mcy5c1LZGJYvHZYQeE1obeKebmXOApjLE5XFnVir3ki1lYP20JvXgh7G8YN
OQLyd9mAy3nVDSK4lFW/HGNLFukBzqv5gPdCcw5Gp7MKDAKtv5SRFR3z2dX7jZnTGnufeli/Tzyu
iu6NPbE7nlurbh02WJgGXFG8Y4CmY0mkkmuKjTFzpytNO/gmb/fN3B/swuQmsiwYhDaRKlBYbI+V
rdck+slUBQttQ5fqWgD33iRT0Kzbpu03Up/Tk9PP9lUULYS0siAKXmVHcxSiZoThCisJQW+amm8S
03kF8PUCb/Mtc5kePZu0cu0673VfvrtBZaAKlo39BRT12icNZjbxeBCL7mz7XJMvIzmT1WDqSKVj
Lg0gMCMcHubRj4aGMBLkY/Q2pe6w7yxhHhItSq603MSvarQYLxs5saqom52tICPtwMe6zAWJNp9d
/tQy4gT4X/nl1qELdb8buyj0+/Lky6BaO1HrnblOL4fcRmdNTQiOdpAQlmvKVRubbLZnP6NpgYoB
T+Rh7Qe4QSju9YdlXxgMg2wkdmyRgQh3JU2gEdHdzp6e7YRilnxcBnKjzq4yAiic/UTXZTte5xa+
Ej1B+AoKZwpbkF0Y52vzAsMnv6fIwroTriveM91uj2WTio/ZYOPmS5svgvrr0z9PrW9PLfvvtaDk
tetf/1MHUl/145HFXgKEISIgmj/deioj9uORZVrAtZBOWDyABiQM9nPO+lYKhL/cJz2vthNqBPvX
I8umgICJzVUMrX8tP3/DS+5YyhX167LSsRnW4AjwFuJBQVnjHx9ZpvrmddEUUK48jK42ZgHDHp+Q
YCD+NNqlTigR7pb0nBfmtGpnMDN0DzKL4SvBifpeSVXxGjxQAwQz1WgIkVtBvepgymMF2fuFxOYZ
ESg19vAZNiX0qdVIqMqyjE+d06/JySQri07cbmpeEy87A0Z997JkM+LD6TXCFrNRn5vJfmNepWcY
/6LVVZhe01Lus7rdt0Fw6micJlW2XaDios8SKnEGALLVozcO16OZSMK2drpLFvO1aDHA6/ozBidn
60WRXNcsJnYtUZc15wubDLc7Ytqi9owixt6k3drKNnmS3ZNBq9HWrXEz1BP4Ehsar19vR1cFXnhx
J3qhzPXij6SVhSFWGu7QwCq+0LxU72aTkFIaQ+/S5uiBssGvRS2nUBejhqsgO+ckrsOUh8WG/oSC
WLTnrL2pmll6+BuWv8fE6Yn2j8UjZQEan2gRwvK4TcD4rIQfHBkrccE4/TkQ5kOTyB3m3Nt0SrWN
VNXSM8ltffG/GpqqOjfF7ZSQarL94FOWGXdUTGoruoY9hkKrpB3BeljK9BNsgXAskL+44yIjpFDl
ucFnjf5V1RfsifRwy03lvEk6l+k0sqiTSD4mGa8/hrTEfKwqysDTAlCBHCYsGz0Dk12W4w4rwjGG
SJV21Kz0hruG4bxK9albzVEgoLAkzyyP7qYWoFfl18g9FrTa2MtXjSBx1c9k6caMr8NHG4TwLuxd
WclLVfkfHSPi994BaTKmZqWX9SdDpld9ll61KchhLTZ8CnBYMNmm4MHeUTLBkoagTl/vIqsiLx2A
73a8Q6Fh8Ii79FrPqk9N1oBNKFSoKm3DCcOxO/JCxwGFyiiGfWPoN6YJA8AZ1anCiRjLQyfqR6kN
u6oT3IerLeIlEaYyZWnWDQF+1pH7S5FgitWHZwqj37sBr2E27ca0plFTwCoRLhH6mf+r2bupmrFf
58Fw7+fFliR6s1z3wznS0u2sB4d4EhfDETfmEO1p1b5okk71QZV9KGa4BDwqq2QJzYXuHxfOLm9Q
0vqulkTsuBT4hr9UlE69Zplakm0GP1/qw9ckn/JwKi1PoeH4qObd5wmPzVj5WPEmeai0hiCHDIId
m/ZDYoBZXhB1Wu77VrryRTDt6FKPN85kwQbwEqAjmm9tWxTUGJ7OsYryDPuU/UUCyNxKwCuVNTxz
MXtDnM02VYcOElvjzSwzFSB3MSf1br/hcTRYa9q8oS8DRO5PPHuQCf0aC+LU4FcTZX9wBKzzrSWZ
Ix4hj/n+LmHHCX58rvksNcJYURrYLiyW4OFtfEF1KRYDJrw9xlUMAq3FjuwaGWqW98H3brSg1ayT
nCS4GQex87ldbHO45H29r+LeIAoCqrKyc3ubpuCzG315Ndr4rkNxXvf5dLRtIbet1mIY1NyT403I
z+SNVrJw35qq6lZ57yLJZPZzrrk+tSqQCwx9cY9WxZs5F36OscmGeeNUL3Vkv6IBm2HvZ7RcLrQt
BsmwtlCEV7YYzZWu03fV9uyr5nw6z5QlTmmQbfNaO9uivdUieSr96mVIR/Q0az1OmKo6g6tyXDv0
gljTkTp0RydtEXj1awox3VVbgt50KNeCX7XiRnyvm9l11IErz+ZPRWJ+XQydvyV2vuZDiWuLqtTl
aM4TdnSn3VAAc5dPKlBJwm2awNmfisQ764ATwmCqXsG6HBLUKVLIk7tu0I+g75TXrqdiME4Qb3RN
uzU5McOR2hFumfK8QAUKHAgM/BTqvSegUneV3u8se+DZzprXC1KPlC0+XXq5H/o8XJz4o9kyz/p2
FmHEzcnn5sHIN8fipvIE1hLgOWRRD5+NHtvRhxJVTvVIP+V4VfvsiH0f02FseJd0FGdZeKy5gdsF
tN50ZbePZf/qBiPQnyG/nwut2XBFLzZRwAGCgPkYSdmFcoRSVVTHTKMt1ZPLs2yChA0v7Ky8Z2/H
jQZWVdW/d0HwyAN6q4MKystElRdbeyurHon77rTUm9Yg6Q7NaN0MWEUDp/qcctCRyNWvbb0/2Q6f
OzI/EZ5noyXb2VK3MnAk9GO8YjOUrZI8PwTO7EPcEWtaeZtd56TjOrW7S57KGyaRrTD7p6HEHZmT
7balyRtQ2tMm12lKw0bRMGBDdNdgs6w9ynpCNx92cOiNnWsm/qHnB7rmYnShsTlb+V5/pE23JbAa
HMnBPBYI55u54hDkkbXV0iXeaaMBMD9w10B38NDySTvFhsluH1aT1nET6oVeHhaTBDtUMCIXVhMB
x8IEZKc3icyeNJ1SZpzSZBbSiAecM+6X0uQj4fg3JgM+nlhsjG41vYkq/ghnmhW097bY1tvk6tu6
c5+rPH5meeuGPWzOqKyf9crfW3Z7P/rmycpokjXnfK0Xyclsx9eYq5T0zPcg524m01vCnpgge/1e
2OohDm6MZ32y/mfs/i4W/G2EU61gz6/kav9z8rZ+TXHCrvUNAgFkAZRPkD/6OXlz7zepyHSo3cQX
9KvC6X1AxWQQRsAE04CY8HPytrwPkG4BQTgG61ywt7+1glVSwB/mbjVrM/Q7poc0Yf5Z3+zkKJvS
nceLXt20sb2ZCcb9oqAg7s9xJf5HyPKmSkXf/d//8kp/+Q6K0odCSxoCwBc7aMf+k+PIHb3ckp6U
l87OjqnHR+IS0Oxh743ohrEY/sHffz+Mkv+f76he0S/yh8mGLEXHlODzJU/XOQZkMHeVqeBLVXc7
tpV/HHqnhuRKAqxzt242NwBVp8gh4tZ7uJKE+zKZgXlwLTYec0PfFCAeclV+AqiteBI+7K+61cn0
5V+DSXum7+emojIeAw2mmiwGriLmgt0qzx2WidS2l3EaU1vk7kAIplvH8SyqBkFhRfMk1kzI0Ita
aWHH4J6DX5K7M4XLMr3ziYDAWaxWXjpcaU3Ebwk4XhkRDmQMC6EvreiFuo2A6K4iGLRVZdwMRMAQ
1g9CZ5ObZ/GpIoYJ0+qx1djPDuJlWCx6ipP9AHl0Y9AbnPb2zq79Y5I60ypxq5G6kraDWzyfKzpS
770eCZoHIJrrfdUk7t5tmIIoqdk3NH/1t0tt8y9k2XJEFbF91bOOvBblgmbc9QtYOKthT+NfuYg+
FBddsXg9TDkCUBDRRZRfA276iPkHeB96Jt0kDGZm+kbz7ZdCq5zN6NjnqbaP5DTDIa+v+mjcEE09
MNrd6KRtRdRwCM9XeLyupN9WYb+UOvic8dQN+scGZLJts1wvxfLoFJCXQbDl16kUNyLvwcWiYyz5
Ua+4Xkw1oKC8b+n0mnhqdwOuFZtZqsu8R2QuVq+aHm/NsgbzIcd+V0Rmd+uD6Lgq6L7edjyUi5IM
wHixE/+uk2ACDKQ4ao3arUEDTFSkN1Jo9+NAAJGt2QpO3sZPA/Zh/RcvQeIx3OzWpKUmkKUk+mjQ
LuWG1Kvc9szNqw5chjvau7Edtjq6TO+Smjb0sKqq+0XYN2XUNExQ7Gf7Ih/upjm5w917IPAc+rX/
zPV4PXlOS6MNk1aWtl8FHgTMvDv4KghrxIZtgLvkUd/1MT4Jhu/GNqB6ecHBZIhdW1a6oVmca1Z8
k6TD2XYygK8lVA8HophYyyk6dV21bx3Wb0uvqpyugWaHJntBHhS3M1t5bAfEQiw72mJqe7LbjvA2
1QdNjmEBauS8z0dQy22B5YvUALKVdsy75QG9Hftg0RO1qO6zQQ/J9/C2xuu2lr75GsjsNfP8c9UU
GQRJoNTsUedV1I3Yw6LB3/9z6H3Xmlhx/a1C3r/+z7p4bf9KcOJLfxGcGIAN1nAOErRiDfx67GEt
wsqKdx6Y+6/IdhXFs12LE8/2FKIAP9APjdz9gKpumfSi8D4x6JT+HXgBIIQ/HBIcR76yC+nYmxwE
LhSDPx4SnhEbIOqc6mL6XESRKRRHSKVJ1LXAnGLjAA1sW+A2EaVgLUda6lOJE6VkY+yzyGZmvvbY
9GSOdlm0aKMT2gIt6VVXhbK18NF6mvG5+EHNtbpT7k6t3wx4Yb43P/ULWR9lkaky73aCn8Z4uWS1
vqFNiDIc3xn1DVega1jfA8tze9glUQLExeGhJPQeLKoRbJasBVwZz6FBteYSVZhZdKdC5xjLUIug
eRANBEsKtYfEqhMmUz+Fw6A/DkYfeuS5R7PvCFnZufLvUj/ZOm/0PSbrWlFdmwBmgRwwihIQSleR
yN4CHLqbOaogs0MmJUOYHHjmRIei5slA7HFTCSDyUF2Lk+No4xXNlHiMhlKs7TZ7RIem9rjgdsoR
dsHjyiVkho+w4BRw5UObNsgoefPoevGlbnDsoHFd2ROhbqZqFewRMhRaoXhnBOFgx2GlaeS5rrmQ
53NVbJdBw+3pHB1hPpXZcBdkhKmikRTzMhp7zwIyPufpl4HUWiyWazifMCs9cOcya5+LHneQhKpJ
+fGVTHxYvBA2WOhK8KGI3FUe5dzoMgumSgbo0XQPWe/e5tGMGDF2I4JGvGns0t+OWvXWmJAfCL9B
wRk3dqPtKr2EZZ5eGEtOlgXWrbQ7KLK8ZyLZ3TSp2698aqzWOpDEjR3glxTxusvkrmmss+ckxCuD
Sls33GqQdUTI5XnXZtpNPlXdeWHBw28P6Lf03TvTNc9BXahCvmFa26XtrU1q9lYWMNFVYfcdfV86
zR/IoF3csZqkMGXIxDm2o5e5GeZtofm7uLPc0On1J7thAwQ2l/KWLJyb3g39NL6NR+PKmFR6cSJa
F3xp3RGv29DxM+zcQ9yQWyTZetXL7pJWXaPdVpVXLO/zVOR7j/RYkNdPeRQ3axawp07l8YTM62PW
B5+qHOOK037x65n1DXXIS7xlHsNzNB6DXtu2unmqiuQ6rarjlMEVrAASCrr34P1j9I3keHAj5+vi
apJJbLTsXSojj12XGJZ7013OccNkYxTpuMVfO61Gy+X72jsSd7tRzUPgl/YjA1LrfOrUvFTK4FFw
UtN1cGrNluGrd8iDWcgTy41cTEKLxMdmR97ysCNiRtsjsHNIUjHvPgY2q+uvkNIrTEX9CZ36DhVc
GenvF9gWlPMx9SVq/jNb6Od26YldEBsMQGpOtBgYqXqO942aIU01TVZqrtQk7xzqZvEAqKmzZPz0
GUM9W3ytGEtLNZ9Stf20sNBzDOTeSc2wjppm9TbyVqRXP/vs369oqThD7uUxoes3ZYXKClHKuIxW
8W4t3rShMehddjBaSne6s8a5PlhieDGqctvY+vOcemcQItugKxNosHxefLuzd/jWPgpW3myNOMP9
maQd/V51exOkxUnHvLeoMcZpousM9lKYuvm+opbhyALx0SfRyndGPwrsB0N3zF3iwORYGqPGx5dN
m0YzzxMfgxuvCu4YSPdTYacY/oZy5cHeNkG6QosEHuB4fcj/K5TQnPrcgFbfpAFT0c/wImgm2mAr
+BoHb2nt3XW9dZfzM+EcoHQyFgXTk39DFmGr03bIIyy3V+QKodEs0K/HIdslTYPClxXcLHq6APjr
fB9mguPEx8KJrxO8WGz70+Fka4bY8Aud94453U0Cr1dZJ2FcpfjQfbEP6HTjY9vGh4mu2khjuQ+5
jN0yIrj3gvMwPfA4RqMkNBjb01ZLmnszBR0Do4o4tSuBvSm+Sty95SaNDFpn7VjD4aNomnPcYREk
CXwvnemK3FeGbbzZSUQPJ6+vx6ouDrUx0hw83elztaFled5ihjlVTbCnt2B8SJZZbkdpvucBTvbO
80BSewA6lMfyn3nq2zzlMHn893nq4T15Lf9ilFJf9csoRZUShCWX1KAHGOWXUUrt7lyGKbACsA1U
3OdfdgMWdLbDzZ5AP/hHReL/9ygVfGCywlOlB7gRfjdn6Bj/YeJWtANDfS+kBGSOP+3uADfRrsLL
uAwAG7swszBVOzqZb6FBLYu5YBJMcZTYFw3yQBDHWFV4gTbGEBx7J3fXNVu4bZzND75W8fbMIIcI
I4XQ6JabTNZvsTlB9196Lhc7LN5SCy1NPnXgSe9mkv87t3UJI9gzR/LkhW5j0iHuDe0Z17kEsWsm
GGONz33UfdXBleyplgEekKlW56rLN6i3UOenWxRD97bBjMChP/qhXoAybzFQrAq6ulexZJ04B3XA
k7Dc+FOOq1tqeyOD4pjhZCa9k34xhDkRB1dAnV5kw97tIvTZesFfa5GEyiNhXCKTlpxJCv4dHtW9
R4oeQvh0u6QFAWV8VXwXhrGFNJhKLKJpWuMZbMklq5LjJMx93+KW7IX52hdWc3JjQPb/j73z6okk
S9PwX2nNfaDwZqVZadPiTVEUUDehBJLw3sev3+dguilIaqY3uciVJvui1U1VZObhmO+832uyujVA
IMNvhHZPIzM7aiV8L0sTy60gKfA49pUAU7+SDgPQaIngc46i+AozXPLHy32aq/aBUYznBM4OM810
rjnw77MyO8Ux0ZqUin+o2GTf1e53ryVYqEMw3mK9UOb6gdw4JwZMhBnMDBNNv25xkmY3YRcfYl9w
24c1SndHeuw9m+CQmgibuP1ppM46TzHmU3DCnIYpfN3UZFjaGHtZzff84yDAxCEqqgBuWHZuD+EP
apYEKWqWTRCI9mjPnG6eZLTOxqq6Ntvq1jbp0WG6NI88nK0HD0kNHeUfGWkEi0Tm0Oxt05tVcv+d
nMcpAY80boIWdgqkNy7VAA1TT2/Oc9HpkUXPp6T5o+f1TUszCIsnfeFqykMu+kS+6BilrgriQg/J
S612YYq+0lgQkBwxXZcNkYcEnYsGVCB6UbmuHUiiO+XZCB00O2Mh0LoaaGHptLI0cbd1MK6YK2GF
n7BZPXYpoG8lI11j7efTXPTFcLbBrIM0dIt2M30J1oiLHSKRoHTUXAXbMdFjI/Rh6ZHcPvPt/kyj
DafSjvNpy5mRjfInWDTqATWY2504PLPS68tcdPRMWntRYl5bTnJGzxULLi0cZi5twAjqtyzagml9
Y4k+YdbX+JaFOd5TmDhPM5h7kzpMF1mUn6hqs6zwJSfM+iAqvOM6wahKoSUZqMO5SosS3ywoO6Jr
Wfb9WRKr4yEp2rc+HU7DpMVqyp11EBbWseokpwHd0Fi0RblDYfseRdh3iKapB8ERxyklOGjoqKp0
VjlWb2PRarVF09Wk+6pbxnVTVmeqaMv6SKVmvWjVElJszErRvvVFI1dq6qWnJ7hGmmM/xX7oW2e6
19h6pBP8IPAfoCM8itYw2Ho/QSSC1iQ6cMdyXYhWsjrG4q6k7suizUzOawT7KYqnLT1olV503WHs
rYn2NMk8+ixqS3M/ondt0MPW6WUHPv6g8K81pjUJYPS7R/rerpAslqIVXtSxBIanfIN0dksgt+hC
pheqaKArdNJNpyFSmtZ6kdouXmftRUkV7NJ9b/3qRH5qx4PrETVBSomVXMR07HsrkA59eviBaObL
dX9o0t0n9pmGdq8aQukWT820i+axoAOMsn8yCoIAApUeB/T40Rvd75BZKRoVQSsSxILeDx/K3Djz
MigHsiAf6IKGkApCQkc87X4NR8ESXZSxGC8GQV/AVIuLm+Nd9mBKjWA4wHRwnKRd6Hl5CCaOa47i
e9NCECO0zmxw8wViA7u7SWBP1J68Kqo+WPaCWGEDJZtNcqXCuBgRUkxSNZjrrb4o4WTgGnMUwNEI
MW3aJwATaGjEu9qAyUH0yD1uYyeGx57dC88VOB/wMdc06k9quCAjPWNLkEOqoZkiYrrNyLRyIxqg
PRcoN5L3LXglslcv9JZJILMfCeKJFdC2MwQZpR+s7wC5J6NurKOajTLQzAzPK2ufxd1PajgtikYD
vq+cs5KQ36UK7yVm3hLVAJZsiX5Nq0oTFtoFqFoLgXjMMGP1Vpyd5TwL/GYiIVWcy5pmntk2lzcJ
B9hlWZU3QaRcGil0OhLMrhSrvg0j2uwl+wLREDA1MKBQ2EHw6FftO821+2XplAs+3x3u8Qju7eyh
ckc8A0KlJVpTG0/RWhik2BXnnHknnc7Putw/qgn8neAFPNVyKcOOpHlwRcCcbBUPmk/WZOggpJJc
im/4a0puNnjkDpgkZ0478/pax/4WixlWWTF1bePUt2RWWR5AXglIk2i8/QHTYTLB7vCPJEhLSi+H
bPSXgRT+xOnx3iCxTvOTZEkyz5I6gt+B214qBkJUHI0ttKzWAWamHMUpWAcBwRbwCXRnU1KqM6Fr
9IbkMZKjbIrVyllvgYISFHIs42EGKTl/JNaDlq/u3HbCm0gqEkrx1IQkaRiT3JNu5KJxL0okH+zm
leOe6K2/9APdwGARJOFAxluyOM3iOPPNSRnIHjzKoGhHWpZO4R//p45+xiV/z9xFUBQMWfOxF6e/
Ie7CgtMx8VQ0XMJedPZ/9uI0zFHBA3FDEqYcbxKtdBp4VMqGzF5lm4Sn/lVJU2QT+IhtkQPZQcCc
1t8BJRH1vwclddV2LMplmlomH+VdJa2ABTVRaWbnfSnT7W71jtQLvZ2Merfv0x+atANbBvJl+Ywv
IR/JccJ2iz1/dICcP7sJErc6MW2Z5a1pxWVIF3/f6JvqtIvc/CGv3WRpxbhz+7GFCohLKaah9Co0
WghSf16VSX1WhKF+K8lmvVBc7AOmtLVj8rTc9DTCxujBlvxvoDhs9IoiHaqe3y1HauSr2h6M27i1
6EurRnNSV76Fv1gKd91qpGihGKjotUamEaJV6jozmvjGoMLe9wwMutLcrVYtbgpzClH8q0uHjIcQ
C5HGb/OLjuTuGE0XcI2Xz1o0YCjFJFK67zM8c/QjhYTmoV/UWdQsFS4J0lr3nNA/RZ/UFPDJqrQ8
s3wKC8tTev/SDx2agl1TIXGGEWB1p7YjZSZGnzq+jAvUTLZFzESbd9LMgNITHJkSuT0TWMnDXdiq
BRpLFJcO/cJbs4u1FcIPI5tAFEkX3MeNw6FBpV932UiKkQHdjpNIPiIkE06upzhLN2+9O2ZSMJXT
cVy5lT+uzaC/KaVikXrBoWQBdyQKBKPOQNwl5Z2nIF5shmVEvhD8g3o4jrIew6jaifpJn2RISYPO
CxZVUlM+AyrCcouKa50z6CB2lCsNtsR+LpE748tdOzHsssbbtDIvbT9PDmoJk37kseYphGl5lqgi
oEytjey7W8kJVLDYuZOsTjqktrQmeZ+cQcqWZmXd4qAkSVU/7+KiqGe9G+CKJmV4s+du+g0qqrAM
GM2fHiQE0qis8Kqndj62Qj08qWBrUc0gq+9GNItVNGa3Y9NLR0xenJ4sfGVooro3ZPx2VykJHvMm
62mKkl1/7re4TabIg+JZquttNakqHcc4NB017E2jmtF95UDwMD7DMwUuhAn4FyPs6zvtYjBLm+TV
zFTWeZaPi0K0ohyIFhNcnYzJf/bi572YbsnnmMZlU9frcsNOzN96g2no7KSqZjypvkRK4J87sbLn
wGtzTF1hp1ZttttXCYUDiVlstwAhL9SHP9tDwkJFhyuB5aIiYBL17+zExGe834ktwoSJPVR1iBZQ
M/h8bzkErQrVqJCc4YzzolrIUpzOKwC0CP0xNopHOG/0ROa2hiTRXEzzk65rLmXcJgw7ovHJzRGj
VNk47lMuJMi66JjgY88ZIk/jQasWqlI7p7TZs32cUPILVafhYuq1dIQy1FhWYXbj4Pk8lQz5PgVo
pYc8XiRBFtHOyGI8LlrcHj3rjMCzdppmraDKWdE0yDr6xzaFeRPAoUoT9SLSiKtpE9q/CewGufSN
fcnq+wlsrOpAYYe2ufekxjTIo2+6Yq+7qLjERgyJPHf8El9lIBWpP/QcrgRj7eRncmP+VFWVnFme
4irRCaSXDg4rsIcAN93OOZGBKgsNlWbvtRdyNP5ImvzKCYujwK9+0ndehnnChx077gd2eKwb4kzr
jJMxtx9GBxPtYYiKqa22R4NFPC/MhmLKLQ0dKqJ7BwuViEOEbSxbuLhxWFJxQoPuJgTpmFhaTgaS
n5RQBoa7MVBPlaDkP2CkBQRUTGVaGfZ5pdnSsJQa4d/nC9NutsVpAW3AVsp5mWdLlTxhmUNIhbjW
KM5CKcf1aHM0GVZ7lPYGbrelZbPx0PxJGxKFkHBzX7O7HBUZzZtO1a9zFNWNpHk00PN5y71qVg1r
1zLn4LEiHsUTQpPHxvKymRUZ6QyQLFsoch2DqKvnbjngKm7i3Ux7C371uLKLyp0oVO1TP87MaUmE
nGDlHrRw4sIwu2jkBHGhmaN0J0NsLIgRI4/V19Jlo5gIDr1rbKK5picVXtrcYlsJ0pwNQ46rNTSY
IPJoCg5El1lxGsyzpMKj2HPJ0iqcH4jUgAZo16BwP3I7u6QTVOHuYQQrUupE0Gu2snr4klUvBbNK
conaqjMds/UomueeTs9EbeQJRuA5nGVP5xrtXVquxZwCqd9XkwQzGODvJo0c7iOjhKGzRV9N149i
qbvAlv02tTR3kvaJPccb5jgx1X2szzBA9ZyzPiXQKpa4uVq+ciAjgcbiE6GO0XFZCOP+LMO/DAoj
bn5ddN+EzXWYaHf50J2HOuR3xUvWbFJAgh5Cmc4+RU4vz0MbnT21Q3vsDNW5lmsPoR4gKMh9sieH
uy50Tns1vQzIEZ0mxojndi1zazC8hW2EZGV6VGu1a95WWQGdA9+1MIzW4dgW+4PqLseGEwrWg4nC
puJ+5QnHcY+WpxfEc3K5r9Muu8aXbMDFXV+Vcvgz5XbLrz+rJ3kG4keH46TJ7B9hKR0pXntoO4k8
l3tjbvp4gWcGfppZM8UxDIt7R7pFPUVFlR1nJdhqZ1UEq3jWTT2qSN09zdlvc6zGqoTIyI504gkt
Pf1MjTJbmhXCnuc/x+Iz1M9R9fmxSAcbv5bh47lo8Nf+PBdVcUORFe4TOlyHd1i/+fa8fAX6UfYI
poSl6NiHCY+wt0A//19GDq2gGZHlvxdzD9T8/lDUQaVskSzBv/gognj3hlgHAb03i6JKzlMl1/WT
Sm0ATYYm4OCDpdOpDlzqtkUWzJ2cMvTnKC7pPbd1kgdZzdbdgHfBPOc+X8ItKMQFv7aNGGNS61QW
l39JwABZ3gMICGjAECCBKuACjCNOJQEg4KlaT0M3O6uG+kESIIPhdA+6gB18og8bAURkdnDUC2hC
c8ITCayilDNjlgn4wq/NdlYLSMMaSuxPiZMBFr9ruV2MSURcETiIBB7iExMxIdx637Lq05T++iQS
yIlRdLckoV/F9RBPQ8AVzahvPBu0hTQFe6kIBMbjmooFPlkOjcBnFIAaSyA2JO6w1QLiBIF6lgk6
LvToS3hyxcSHqdur8mEiG2u9TpYaTN5KJ+pRUHtLSoweWhnpEPxpZz+Ry5sGLnDWQ84irOImgyXs
hHdaR48V4jA87ftSrc7KMbg2IBZHup3MULbDNTbMcyzb6FFDQ058AgjCmuzOUSJWC2LEZRVop5gn
no5PLGY5wINMMJuNwk4OQoX7kiF4z52sn0sGUcecR97EkHxK7V45Cn2UWqFgThcejhNFI89tSNVm
xS2xwyYRd/hDO0NGIAMv54PuIAYo7IMyT9UlHHBUiPC1y6ABtCfRZhlZfjkLBa/bbN1+bgiuN9wJ
eN2DipFG98OFDo5R/7kpN3BXU4yrJadYlghielUlJwMyuWpAsOkFv5yIeHZSKOd4cZGhrkruksLU
nXY42eA8cOoLpjqY9l2I6xmmtucdVHYvhNNuquGSTIOrpNb3HaUn6XQ0r+qwQNDj/aigxdOck6bR
qMKUF5z5VrDnMXK7IaITcYfKZmzl15Jg2sdVdyUBJ035qyjyBR9fE8R8ScW+RjVh8ijZYwJ0Th2X
n+iDcxbp+ITUQw/RH8Z/g8/LvBciAKtDai+FpY3vSoDtjcgtq0lGjrSyX9UuTl9yhau9ViIu0KLw
usEtPw6utFqJmYHIEFhrM65OwKa1VS9TAiQ4LLls9orqTjX8Y8hoQJuBIX4SBtpsRO2AWtOfD2kx
ziwVWD6lpCUUigjqJ5kEegkaEauo5wbJXLvUtUNpAFJDeiqhtSBnYk5KbzgD7J7bWP9QxT/KQqGR
W/pjOcq3DtINuYtPc5I6VKHpgDjoz00iNBGNEdjaVKtYJycrGA5wAzjUG0dE/QqNSA8Jghwlqq/h
Ua3Kn57UHHVZfREjLyFwM1pAW56NCE80BzqMIrQoOCOpk5AUgEkjlCplXT/mUkKjr+9UEiCsVVCU
P9FWc6ATZTtRheYFxwa81RohTTEkG6YX3C7gO3wfQGpbZDM1No6QN9WA2Ff7qBLaGq9qmoU/toek
e7ZTFQGO6ferUChycqHNqYsqpjyCc1Dpxb6ZQLb0gxFlbX9ZGwXhcgL56P1uhjUfpjOpUbLoMpaE
bZ7EZYAqqXfBFYlN0Ru3J07Pu3Rd/SzLnUvH1fe1frDB8YVed4iJa85PPU8pFkRIxjf4DePm2EEp
xisSqoFY2EZ4jd0GUZ9tR166QyAIrdO7PgUcafRggVfeIRv6t0HP0JlB98KwubkAnlIngWHMWmSk
S6JYvWlbafrEMAEQ7PTQd0kkjooYR/r2IjBIb1DpYbgBFbyVlco89WL+btteGsSt7I9pcwfJCv0L
tn0TLmE+1nqFNPVG6dHRwbpQHQdLAJsLnPjuTI21XcSWTf0t0mzI40RcM6anMtEckzIrbnDBEIoc
RDfJQGSIpnbZxMfAn/wxdWnkqbwIA7lexHV2RyTFNWEfxCe76YLsDBKm+ZVTClFFd5pGQFkP8xc4
kDFtA/OAFgbFvo7ZI6aRLBqDuAu9vfKH6KLjTJzWIj0mMFCaIIomdVoamG62RXMvFOoTAcPl0ogp
OXDIIEEPovvXIbjHk0+KzCv06ku8KR+MzDjHP2zdQ1ehWAxvRPsL6yKJqdekx4pmFpin4QQrUD/L
SvdlRTmo47yc6oPazCMBC8KIjQ+qsbjSVBZ+nGrXEtboyNIfuiJeOG54xWEvHxF+ThfMdg6qwDtD
Nv4d0559TaJYxPenx7UedtwAEukaGgpy/PMzAVB2NCVmqmXdB31G1m2Z0bERyMqQ2d8UNynmBg03
eO19Os9zPEnauHEP5HJYmRKTofZbdRFFNlEd9OJsVzoMPG9VokLwIgnRe5hjP5/x9638PIvg+4JO
eXNJMe5zrK0W2DPe6jLd97Awz7ma/sh0E4RNhA562mMo01DVWmyNVLX0adqnhL1YMYW5yU1ezgam
X8hFQQkGEuxG5das2lPokMEcPjt3AYld2x+4woUWyQimFK7kVD3BLNyf1oEb0lzIjwKBRul1uRxG
HOQbTVTecrQfwqmZEirDeVfTIytU8uwygWOhqH7wPTLlCVwpF3AR5WlGFMssk/EojxCaDZJ5ndhg
fp6HPUpSSN/9srui30s/JnCmWRcfN5VCB6Lh+uNxvZipun9Zm/jou3F90OCzPk1k5wqF37kX4+cG
/4xOeS7hb48Maqq19aL3pJhI4vRAonISLjHytFOru9xLRKYVyx5HZNhCkPvljqZ2sO7ga0m5+WjK
0ndJszkEEihakRM9WoL6pcbqfTuURw4n+WSwjPuqtZa4wmAM5ymHbqoRiDi2ZHOZ0bWXJHiw96U6
tRtzGkrJwnPvZJt2i5MQSond6ERpwsNcZE3kTRieqgG2TgVmBDCsbj2MaIg1CL8r9Fsm6Du+WYlj
4qiVHehOd91Tc9EhH4kyzLN0XtSaN4WZB4kvKvg6eNgC/Zb6PMv0I7uAWGAP8PKsAmSg6x5NFYoB
c6afo5BeYA97k7csXb9ULsh94TI9aCeaGcAYMEi9h7B4iRDRgByvaJSXPft0mZ70eomdu0lqoV3f
h8lQTbERuy56roBJI1+NcXDYD/F3VZeSWVexpVoydtfId+0u1dBqkUWRxc1xXpWLVO5tolMr7Pty
Ge9PM1w71MZ+S8hO3qfrMSkPRwdChleOB6qa3uD8MasBWvMWoltFlWdFbH0kVBOO4XQWpOWAD9lY
S7kvH02fks7Kegx+qPnaUJkGcXjTWOmB66JHjNKVa0d3Yd2c6XpxiEOeMvOSfkFEAyelxj22sL71
vjLvDdLE3CK7pIO5n+sOIj6ujXJ4XkMSGwIFjZ+GHYcrkt3aYxQiB7gOT2NDbjGwDxViiD1LjS7i
dDRvBsIs7NNCwhTyIjbqvJ0Nggln5NLhf+6gz3dQeka/uYM2MPfXG66g/K3XKygWNg7uNtwl8eZ8
Jo69QrMKecL4Pdg4KQjH0DdNMs3coyASl00EX3C9hIvEK3Pf2ENkBlEIVFYnm5D+2d+wivgIzfLG
NOEIEBOtOG6j76BZzy3kIkVlf0q8Gz37oPkJ3u9zQaM9IbfxbChjIb7HLS9zTwJAuZmhdNW0TNvz
pMoOLMeVqOFULBbbAqwqOEKoeTJYxGJl6K5kOXpoKRLJYmg5ViTUI26nnmQjpawrm940qfIzgtOv
oRD8VCv9hsB4yP2+Az1I5E840riIdUmakzaO0x9mOBbxUZMgD3/A3f+ZD9lV63O1ympgQ9c0f5Q4
uKd9el070rWbDke+adHcC07ayD+us+BnldmUvY51XmoGAXeeTb5o5iKEwa1FVbPDRsluCSYf8LbS
MLuouTIWcbcPPepqUPNyjin/QteR4qghGWN6B2cokuyHwseVz47N46qOv3dccac2BpFGZH8jNvgB
AOgccjRuwdhs0BoL67nb0SnL2xsCVu8B927dQj2rsvQeOAMBTlR68ybtIDVYyTmNwn2w3okeej9j
FaPsPLbzWUfaIWyB7L5THDS2GCMmAzqrXNXG2YAb4YKeeDmly3pcVxFJv+4xteFshLhBLdEt5LID
hnb2PdX4hg/iI1Fzayspv2uBh1/CeJN4I4Egop3HL8mRSwOaGn6xqsxlTe0L8wKO2Inv9I9x6GQz
F6FCRvbstClD3LFl9Vr3jG96jXesHUTfdU99bFSzPRgC8dcN6njMxW4SqdmvMh+s3jCpPZpgBp8w
hJMY36L7i8AqmlPVN2TQVLDNQqmNiaxLE3OMFrKVhxO6W8ui9jOupzlOijm/NUjG3VQ1TEAQiEbF
aC9MfGuXbkVpQfV0CCzhzcqQ1CCjG79ZsbHsUmPRcJRN9dEVF13IgnB46BGOVTiDOAJRh3bd1B6Z
xEPF7zBRc2/eleNl5uH5BOTPidsuXLm5HG3tMOigh1sq5MOqcL2ZF0ODbpvovs76GxtACxQ6v5OV
rESr4k7LDti/k4N9syhxt5T8fZlkwplkISyT5WxpDvJSkUlsqGTJ2cfafcB3014nYXHMzZXM4SrM
50AZB6Y3DERwtumcQ4VcQgNxH9x6ZmMy4RJyV8G3nMqlQpzyCM8e5Ek90tMI9hK2+95BrDq+Noui
7lq1o7Kdl1LlBz8YBrc+U2sL/ZwZGNrCJAY4/W5xv8nwQs9HDtgyrvwp9wLrHFAqMM+HIvDPtaL3
boMmn1cxU2giLI9O86oCIIF2ZHc9gm2PDjxkJb+QuY44Rn8hxxKpi0WAlbjVagbFfTzO4BhWxUFj
yS5Xh6B/conSYqLkBrK7uxgdhNkX+Fpp6k3UwRE8idO8YZ+JfWXWm9a97OHaCoVzKJNx0oGCieg8
3SjmoEaW912urbi6Vd3W44TWRtXnoE1M92dkBL5+ImPnKkFX7Zv8/w07+yU2b7aqV/Mnn+uLZl0O
39YVv7Pq9RwRP33SH3/P/m9/6PcPenHY/j7k63/+Y/WQBOksqOoyuK/fnqQGh+K7s/fpMz194N89
Il5x1WoeeDbabkHzhmSCWbd4gcDGGV3/5x9LCgcw4IcK1qugmuT1tur53Sj8/gs+D+fv/8zn30DU
Du8syNX3pPd/ZyR4zi9DgRRQtQycnz4bClrEFiJ56oEdHgrxO/ylIPv7Q2HvCStTsGcA91+mgyrv
WdAoHY3GsXg9v9WbJfPZovj9r/rLp4MM0WnrMYARoCoACU/fVBaT5e3KYCg4PR0VEsCOrgnxkbcc
BMpvKBM6XgrPU54i+9dBIP+S/QNLid2cCeJjbz0IFua/OhcME79M8UKO8usgqHs4WbBgnsd7B1fD
9pujvQdNkQyGzyYC54TFC+YKWwaTbgcHgWvblqvB3sPTx3E0jKCfXh9Wg4q3tG4Dv/CT3RyE59/O
ff9f3jr78/j+FwXDr8eks6eKXY+p8Mm+KNirNpodwYPdzUF43rC3GAR8Ki0D8EEV00G8PmwJOqNE
kImp7uqeoGw/E8w9nDPZ+HTq0KfXu31R1I78jLOB4dnNmfD8wbaYCRo0QGgTpCe+jAHHza+HAxWT
gI/odT+tl908J1nLz1vWNkMBIgfaZkDx+XQ+YDbNP8qu7gza9mUjriEGMCb9q82DIBQBMjFdyu6W
jdtXTJSNwi4Mo6D3q4ETEqzX0oxd3ReNrygTTMi8DlXz+2/PsYHWR1HMXd0F1O1PBRtEQUDvLyfj
h6ORUwE+DKoTeVexBGHds12liEyHEYBT93EBED+CmRBWey/js6Mno/I8Q7c5DlQOPiy76cA8F4rs
rb+cjIqxh1cTxwVIg3jt6ppQnreqbYaCQ0HG8ZBcmc2HgmKzLZKajKPBrs6H7U9GY09DMQGU8Pzr
3gQ1iusVCoxdLReN7QdBtDpVxHv6J3grqJJmY9EJ23VHZ4Jw0t9ud9ScPQcGMTXzS6H44faEyhEP
dkSRu1oovlSw2+wJzh4XRMyIwVKfXuKW/Qu+qO7Rw1bIKNhVfBEj2C1ngvCMAVLCxuV5DARs++sg
ALLyY51O/o4uh5dCdpuZwD2anC+G4JM9QVRMxKNybdrVPeHlgr/NIOh7WGvhMP8KJrzH1jgicXCk
LcGSEa9drRZegPBthsLZU0SdgMDieVXwVX9dFBrgEsRYMrl2dFG84J/bDAKJwEJ8Qj/uk0GQMaIC
bH0y0txJcEk4fG55UFItWLhYG/ILuvR+Uagix4tMLcvZ1brxBf/cZiZYe5psokx6vVF+GAQOEZjv
bAz601TZ2Z1h+/lgY0lrCTDx5aT4cFwqe9wxuHCpf94zdnJpvBS3W8wKEHhKaEHJM5+/6gekiRxy
HDeIo9vVQ1NI0LfcH8w9nO5x1EMy9PTaMB8ghmHjt7OtSSFF3G4QBNbClZFd8mUmfLhNUEhz7USY
sLM7w9aFNG0I1aEVQ6/lk5lAj5o6GhfqXQVeX279W+wJ3CuxGhZuNi81w4blgGBRZ1PY1SuVYDFv
txw0bIXECYHf0PPG+P64hG2N+a8MnXpXl4O2PeBmQxuHsIAVxPMgfNgTxPEh/gGQEq+dHYqtt0fm
g2PLBkLg543hI+xGfQXHiSbtruLxwv9qy0XBd+TqCNTygrq/XxR05cQFm61hVxEnETqz5SDQeoCY
oRDT+zwV3m+P7AxAk4R17upE0LY/J4k5evIloAH1/Hp/t8YOgVAiwxaJSoz37vGYXjDRbc5JOjOo
Ywy6M+++PTNAweqIKfLSvd7VMXgGPrYZA67WDIEu7JaeXu8XAzsCeUvg9M5zMbGzJ8T2FYNBaYjE
HZT1eSj4qr/iTYCwnB6QPHd1TejPH2yb+QDopmEjRQG9uWxiPpjwOpgQu1o7vuxY2wyCJdJwLM7J
l+X/oWziFoE/GoXTri4HnXW83THJfRISK7ug9hnxW6VFx0nKmtnR7VHfvkWni2NQAIufc7kQjms6
t+rXc3QnT0t9+5PC3tM14qQQwXxyUjwdp6bO0tnV+bD9hQo43sI/kfDHT7ZHWL+weuhh7eyi2L6A
htZmyrTnyabfXDPIe/yQZSNCKHnt7Ca5fR0tWF6gDAJ7fP2qv9YMzAfdYRx2lub4ctPb4rgULHCN
q4L6KgyhCnk/CCaiCYycn0+l3btMfMiK+dtaMY5LCFwmzdtPTgp6VCiIoLuKDjevnV0U2xfSFmQF
GW6r+Rmlg/aMyCHU8MXbzculcNjbrnzSUD6wBWryZyKZJzYDLSrzhXG+g4ti++1RtPAVqI2wXJ9e
H8g96OYg9ojoyX9/JvwbI/WnQHnqB/HDkzSZlJRNCubP/sCrUPPjz99obp+Ux7/8SSFVfn7zZ2Wu
+O///kW5rD5hKW9++oqtPL3Ty99/+Yof3/yXN3v9Xq//cz9Yl6vy3h+efjC8fNDTVYLC+X9i/vWw
eq8YFuD46//bILN+WzD9/ul4Rq5fH3Tw8M9/0H/BukqmAv/rq77TcP/bD09WD1n5+qA3D2cL3frh
E+GZ/fqcN8/mw2397OkqXrX8SqrXZ715PvN9++fjR1R9+JUy6uxeX/DwtC5JnM2qetNbgA9v/Raz
dfzHaVZuHH/2nq2fP4//mGUlk+f1WW/Gn/vQ1s9flCQvbXo4x9rWD1/G6zR9fc6bD/4Vy3W/Se6y
+KH++HjB+d/6ox8k+boMVvHro/769IJOv/3jsRh8fcybR3/Fij1alxvGXFAntv7UR0HqbdgIhP5w
62cfr6INe5gg537Bo6tqvWlMvmKBHmfVH/+Teut4vWlkvmKJnqwe2IBfx+HNbPmKJXqywll6w7O/
YomKZ+fZpt1dWHxs/Ws9WacP2X2wafcSzM0veH55v354fdBf4y54cNs/POOzvz7nzbO/YpmeZBvH
5CtWKY8mnmM9bPjkX7FST1f5hokuwNmtB/x03a4+1o4Gyadf8PCzcsUW8PqgN7/Or1ii5/HqflMk
imjhbD0s53GTbCruhDRk64d/Cygdq+Bhw8iISNmtn3+5ui+5EqT1hrNUME++4A3SPyZrjMo2vcFX
LNXLlXiDMl2VDxs3MkEV+JJvMQvW3qYv8RWrVnyJBSvgPqjuN73HVyxf8R6H2apoNp1W2lesYfEO
x01Q/XF2F1T5pu/xFYtZvMvJql5vev5XrGeeX6/+mKzKu9WmmkG0k75iPvEeU9xAN2zWop34Ve9Q
NuPrw/7aU/UvWdj+auOdUPQct//0YBgbh+ZLFvPvwwqfvNS2QEEus3i1qXoQ2P/2A0NhsimwXHT2
tn94vUqDKl411evD3syZL1m6v4sm23bcf5vlvvXDf5ses/XTf+cLvP3DAYiSTbicUNBtPWl+8IRm
01oV6PnWT7/N4g37vLCl2P7Rzd2Gzdf416t0Eyz7JzfuI1j7aue36a/9ikWLP3Efr1flf/8vAAAA
//8=</cx:binary>
              </cx:geoCache>
            </cx:geography>
          </cx:layoutPr>
          <cx:valueColors>
            <cx:minColor>
              <a:schemeClr val="accent6">
                <a:lumMod val="40000"/>
                <a:lumOff val="60000"/>
              </a:schemeClr>
            </cx:min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10" Type="http://schemas.openxmlformats.org/officeDocument/2006/relationships/chart" Target="../charts/chart6.xml"/><Relationship Id="rId4" Type="http://schemas.openxmlformats.org/officeDocument/2006/relationships/chart" Target="../charts/chart3.xml"/><Relationship Id="rId9"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36286</xdr:colOff>
      <xdr:row>40</xdr:row>
      <xdr:rowOff>172358</xdr:rowOff>
    </xdr:to>
    <xdr:sp macro="" textlink="">
      <xdr:nvSpPr>
        <xdr:cNvPr id="5" name="Rectangle 4">
          <a:extLst>
            <a:ext uri="{FF2B5EF4-FFF2-40B4-BE49-F238E27FC236}">
              <a16:creationId xmlns:a16="http://schemas.microsoft.com/office/drawing/2014/main" id="{A230F497-222E-6CF4-973A-9519A248BB92}"/>
            </a:ext>
          </a:extLst>
        </xdr:cNvPr>
        <xdr:cNvSpPr/>
      </xdr:nvSpPr>
      <xdr:spPr>
        <a:xfrm>
          <a:off x="0" y="1"/>
          <a:ext cx="1778000" cy="7429500"/>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endParaRPr>
        </a:p>
      </xdr:txBody>
    </xdr:sp>
    <xdr:clientData/>
  </xdr:twoCellAnchor>
  <xdr:twoCellAnchor>
    <xdr:from>
      <xdr:col>2</xdr:col>
      <xdr:colOff>36286</xdr:colOff>
      <xdr:row>0</xdr:row>
      <xdr:rowOff>18143</xdr:rowOff>
    </xdr:from>
    <xdr:to>
      <xdr:col>27</xdr:col>
      <xdr:colOff>163285</xdr:colOff>
      <xdr:row>41</xdr:row>
      <xdr:rowOff>1</xdr:rowOff>
    </xdr:to>
    <xdr:sp macro="" textlink="">
      <xdr:nvSpPr>
        <xdr:cNvPr id="6" name="Rectangle 5">
          <a:extLst>
            <a:ext uri="{FF2B5EF4-FFF2-40B4-BE49-F238E27FC236}">
              <a16:creationId xmlns:a16="http://schemas.microsoft.com/office/drawing/2014/main" id="{24D0C0BE-D135-427A-BBA6-3733DBE71A18}"/>
            </a:ext>
          </a:extLst>
        </xdr:cNvPr>
        <xdr:cNvSpPr/>
      </xdr:nvSpPr>
      <xdr:spPr>
        <a:xfrm>
          <a:off x="1778000" y="18143"/>
          <a:ext cx="15022285" cy="7420429"/>
        </a:xfrm>
        <a:prstGeom prst="rect">
          <a:avLst/>
        </a:prstGeom>
        <a:solidFill>
          <a:schemeClr val="accent6">
            <a:lumMod val="40000"/>
            <a:lumOff val="60000"/>
          </a:schemeClr>
        </a:solidFill>
        <a:ln/>
        <a:effectLst>
          <a:outerShdw blurRad="50800" dist="38100" algn="l" rotWithShape="0">
            <a:prstClr val="black"/>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2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96875">
                  <a:schemeClr val="bg1">
                    <a:lumMod val="75000"/>
                  </a:schemeClr>
                </a:gs>
                <a:gs pos="68000">
                  <a:schemeClr val="bg1">
                    <a:lumMod val="85000"/>
                  </a:schemeClr>
                </a:gs>
              </a:gsLst>
              <a:lin ang="5400000" scaled="1"/>
            </a:gradFill>
            <a:effectLst>
              <a:outerShdw blurRad="50800" dist="50800" dir="5400000" sx="8000" sy="8000" algn="ctr" rotWithShape="0">
                <a:srgbClr val="000000">
                  <a:alpha val="43137"/>
                </a:srgbClr>
              </a:outerShdw>
            </a:effectLst>
          </a:endParaRPr>
        </a:p>
      </xdr:txBody>
    </xdr:sp>
    <xdr:clientData/>
  </xdr:twoCellAnchor>
  <xdr:twoCellAnchor>
    <xdr:from>
      <xdr:col>0</xdr:col>
      <xdr:colOff>139460</xdr:colOff>
      <xdr:row>4</xdr:row>
      <xdr:rowOff>145853</xdr:rowOff>
    </xdr:from>
    <xdr:to>
      <xdr:col>1</xdr:col>
      <xdr:colOff>764757</xdr:colOff>
      <xdr:row>6</xdr:row>
      <xdr:rowOff>131171</xdr:rowOff>
    </xdr:to>
    <xdr:sp macro="" textlink="Pivot!H4">
      <xdr:nvSpPr>
        <xdr:cNvPr id="8" name="TextBox 7">
          <a:extLst>
            <a:ext uri="{FF2B5EF4-FFF2-40B4-BE49-F238E27FC236}">
              <a16:creationId xmlns:a16="http://schemas.microsoft.com/office/drawing/2014/main" id="{829C899F-2C8A-66FE-CB53-28754D889E46}"/>
            </a:ext>
          </a:extLst>
        </xdr:cNvPr>
        <xdr:cNvSpPr txBox="1"/>
      </xdr:nvSpPr>
      <xdr:spPr>
        <a:xfrm>
          <a:off x="139460" y="871567"/>
          <a:ext cx="897440" cy="348175"/>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058087-AD3D-40E3-98FF-EAB4B0220C37}" type="TxLink">
            <a:rPr lang="en-US"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pPr/>
            <a:t>2,400</a:t>
          </a:fld>
          <a:endParaRPr lang="en-IN" sz="1800" b="1">
            <a:gradFill>
              <a:gsLst>
                <a:gs pos="96875">
                  <a:schemeClr val="bg1">
                    <a:lumMod val="75000"/>
                  </a:schemeClr>
                </a:gs>
                <a:gs pos="68000">
                  <a:schemeClr val="bg1">
                    <a:lumMod val="85000"/>
                  </a:schemeClr>
                </a:gs>
              </a:gsLst>
              <a:lin ang="5400000" scaled="1"/>
            </a:gradFill>
          </a:endParaRPr>
        </a:p>
      </xdr:txBody>
    </xdr:sp>
    <xdr:clientData/>
  </xdr:twoCellAnchor>
  <xdr:twoCellAnchor>
    <xdr:from>
      <xdr:col>0</xdr:col>
      <xdr:colOff>146488</xdr:colOff>
      <xdr:row>8</xdr:row>
      <xdr:rowOff>41112</xdr:rowOff>
    </xdr:from>
    <xdr:to>
      <xdr:col>1</xdr:col>
      <xdr:colOff>663895</xdr:colOff>
      <xdr:row>10</xdr:row>
      <xdr:rowOff>40094</xdr:rowOff>
    </xdr:to>
    <xdr:sp macro="" textlink="Pivot!I4">
      <xdr:nvSpPr>
        <xdr:cNvPr id="11" name="TextBox 10">
          <a:extLst>
            <a:ext uri="{FF2B5EF4-FFF2-40B4-BE49-F238E27FC236}">
              <a16:creationId xmlns:a16="http://schemas.microsoft.com/office/drawing/2014/main" id="{8DA22A2D-A524-4497-AF49-A5283C89BB53}"/>
            </a:ext>
          </a:extLst>
        </xdr:cNvPr>
        <xdr:cNvSpPr txBox="1"/>
      </xdr:nvSpPr>
      <xdr:spPr>
        <a:xfrm>
          <a:off x="146488" y="1492541"/>
          <a:ext cx="789550" cy="361839"/>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3F0C1E-B410-4BA4-A7AD-1177FE0F1574}" type="TxLink">
            <a:rPr lang="en-US"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pPr marL="0" indent="0"/>
            <a:t>11,997</a:t>
          </a:fld>
          <a:endParaRPr lang="en-IN"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endParaRPr>
        </a:p>
      </xdr:txBody>
    </xdr:sp>
    <xdr:clientData/>
  </xdr:twoCellAnchor>
  <xdr:twoCellAnchor>
    <xdr:from>
      <xdr:col>0</xdr:col>
      <xdr:colOff>172469</xdr:colOff>
      <xdr:row>19</xdr:row>
      <xdr:rowOff>42062</xdr:rowOff>
    </xdr:from>
    <xdr:to>
      <xdr:col>1</xdr:col>
      <xdr:colOff>556605</xdr:colOff>
      <xdr:row>21</xdr:row>
      <xdr:rowOff>101915</xdr:rowOff>
    </xdr:to>
    <xdr:sp macro="" textlink="Pivot!L4">
      <xdr:nvSpPr>
        <xdr:cNvPr id="12" name="TextBox 11">
          <a:extLst>
            <a:ext uri="{FF2B5EF4-FFF2-40B4-BE49-F238E27FC236}">
              <a16:creationId xmlns:a16="http://schemas.microsoft.com/office/drawing/2014/main" id="{C9392FD3-5A4B-48E9-BBD2-99A7E529116A}"/>
            </a:ext>
          </a:extLst>
        </xdr:cNvPr>
        <xdr:cNvSpPr txBox="1"/>
      </xdr:nvSpPr>
      <xdr:spPr>
        <a:xfrm>
          <a:off x="172469" y="3467926"/>
          <a:ext cx="658519" cy="420470"/>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4393FD-E582-4DEA-901A-189BC85F4E32}" type="TxLink">
            <a:rPr lang="en-US"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pPr marL="0" indent="0"/>
            <a:t>2.3</a:t>
          </a:fld>
          <a:endParaRPr lang="en-IN"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endParaRPr>
        </a:p>
      </xdr:txBody>
    </xdr:sp>
    <xdr:clientData/>
  </xdr:twoCellAnchor>
  <xdr:oneCellAnchor>
    <xdr:from>
      <xdr:col>0</xdr:col>
      <xdr:colOff>103594</xdr:colOff>
      <xdr:row>3</xdr:row>
      <xdr:rowOff>123401</xdr:rowOff>
    </xdr:from>
    <xdr:ext cx="815309" cy="330169"/>
    <xdr:sp macro="" textlink="">
      <xdr:nvSpPr>
        <xdr:cNvPr id="13" name="TextBox 12">
          <a:extLst>
            <a:ext uri="{FF2B5EF4-FFF2-40B4-BE49-F238E27FC236}">
              <a16:creationId xmlns:a16="http://schemas.microsoft.com/office/drawing/2014/main" id="{DF57C407-3B7B-97B1-95C9-D3D64E0D4509}"/>
            </a:ext>
          </a:extLst>
        </xdr:cNvPr>
        <xdr:cNvSpPr txBox="1"/>
      </xdr:nvSpPr>
      <xdr:spPr>
        <a:xfrm>
          <a:off x="103594" y="667687"/>
          <a:ext cx="815309" cy="330169"/>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t>🛒Orders</a:t>
          </a:r>
        </a:p>
      </xdr:txBody>
    </xdr:sp>
    <xdr:clientData/>
  </xdr:oneCellAnchor>
  <xdr:twoCellAnchor>
    <xdr:from>
      <xdr:col>0</xdr:col>
      <xdr:colOff>120531</xdr:colOff>
      <xdr:row>6</xdr:row>
      <xdr:rowOff>128270</xdr:rowOff>
    </xdr:from>
    <xdr:to>
      <xdr:col>1</xdr:col>
      <xdr:colOff>731719</xdr:colOff>
      <xdr:row>8</xdr:row>
      <xdr:rowOff>88583</xdr:rowOff>
    </xdr:to>
    <xdr:sp macro="" textlink="">
      <xdr:nvSpPr>
        <xdr:cNvPr id="16" name="TextBox 15">
          <a:extLst>
            <a:ext uri="{FF2B5EF4-FFF2-40B4-BE49-F238E27FC236}">
              <a16:creationId xmlns:a16="http://schemas.microsoft.com/office/drawing/2014/main" id="{BD6D78A6-4F0A-3B57-323C-A585D9EC6DCB}"/>
            </a:ext>
          </a:extLst>
        </xdr:cNvPr>
        <xdr:cNvSpPr txBox="1"/>
      </xdr:nvSpPr>
      <xdr:spPr>
        <a:xfrm>
          <a:off x="120531" y="1210122"/>
          <a:ext cx="885571" cy="320930"/>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0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t>Quantity</a:t>
          </a:r>
        </a:p>
        <a:p>
          <a:endParaRPr lang="en-IN" sz="1000" b="1" i="0" u="none" strike="noStrike">
            <a:gradFill>
              <a:gsLst>
                <a:gs pos="96875">
                  <a:schemeClr val="bg1">
                    <a:lumMod val="75000"/>
                  </a:schemeClr>
                </a:gs>
                <a:gs pos="68000">
                  <a:schemeClr val="bg1">
                    <a:lumMod val="85000"/>
                  </a:schemeClr>
                </a:gs>
              </a:gsLst>
              <a:lin ang="5400000" scaled="1"/>
            </a:gradFill>
            <a:latin typeface="Calibri"/>
            <a:ea typeface="Calibri"/>
            <a:cs typeface="Calibri"/>
          </a:endParaRPr>
        </a:p>
      </xdr:txBody>
    </xdr:sp>
    <xdr:clientData/>
  </xdr:twoCellAnchor>
  <xdr:twoCellAnchor>
    <xdr:from>
      <xdr:col>0</xdr:col>
      <xdr:colOff>97014</xdr:colOff>
      <xdr:row>10</xdr:row>
      <xdr:rowOff>62305</xdr:rowOff>
    </xdr:from>
    <xdr:to>
      <xdr:col>1</xdr:col>
      <xdr:colOff>708202</xdr:colOff>
      <xdr:row>12</xdr:row>
      <xdr:rowOff>3565</xdr:rowOff>
    </xdr:to>
    <xdr:sp macro="" textlink="">
      <xdr:nvSpPr>
        <xdr:cNvPr id="17" name="TextBox 16">
          <a:extLst>
            <a:ext uri="{FF2B5EF4-FFF2-40B4-BE49-F238E27FC236}">
              <a16:creationId xmlns:a16="http://schemas.microsoft.com/office/drawing/2014/main" id="{ED910435-D615-4A79-8DB1-DB28F7E55070}"/>
            </a:ext>
          </a:extLst>
        </xdr:cNvPr>
        <xdr:cNvSpPr txBox="1"/>
      </xdr:nvSpPr>
      <xdr:spPr>
        <a:xfrm>
          <a:off x="97014" y="1865391"/>
          <a:ext cx="885571" cy="301878"/>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0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t>Amount</a:t>
          </a:r>
        </a:p>
      </xdr:txBody>
    </xdr:sp>
    <xdr:clientData/>
  </xdr:twoCellAnchor>
  <xdr:twoCellAnchor>
    <xdr:from>
      <xdr:col>0</xdr:col>
      <xdr:colOff>101913</xdr:colOff>
      <xdr:row>14</xdr:row>
      <xdr:rowOff>55777</xdr:rowOff>
    </xdr:from>
    <xdr:to>
      <xdr:col>1</xdr:col>
      <xdr:colOff>1187763</xdr:colOff>
      <xdr:row>15</xdr:row>
      <xdr:rowOff>133566</xdr:rowOff>
    </xdr:to>
    <xdr:sp macro="" textlink="">
      <xdr:nvSpPr>
        <xdr:cNvPr id="18" name="TextBox 17">
          <a:extLst>
            <a:ext uri="{FF2B5EF4-FFF2-40B4-BE49-F238E27FC236}">
              <a16:creationId xmlns:a16="http://schemas.microsoft.com/office/drawing/2014/main" id="{55B730DD-43B1-43F9-B4F4-F1D4F92A5FCA}"/>
            </a:ext>
          </a:extLst>
        </xdr:cNvPr>
        <xdr:cNvSpPr txBox="1"/>
      </xdr:nvSpPr>
      <xdr:spPr>
        <a:xfrm>
          <a:off x="101913" y="2580098"/>
          <a:ext cx="1360233" cy="258098"/>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0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t>Avg.Rating</a:t>
          </a:r>
        </a:p>
      </xdr:txBody>
    </xdr:sp>
    <xdr:clientData/>
  </xdr:twoCellAnchor>
  <xdr:twoCellAnchor>
    <xdr:from>
      <xdr:col>0</xdr:col>
      <xdr:colOff>123178</xdr:colOff>
      <xdr:row>18</xdr:row>
      <xdr:rowOff>28987</xdr:rowOff>
    </xdr:from>
    <xdr:to>
      <xdr:col>1</xdr:col>
      <xdr:colOff>1155053</xdr:colOff>
      <xdr:row>19</xdr:row>
      <xdr:rowOff>106108</xdr:rowOff>
    </xdr:to>
    <xdr:sp macro="" textlink="">
      <xdr:nvSpPr>
        <xdr:cNvPr id="19" name="TextBox 18">
          <a:extLst>
            <a:ext uri="{FF2B5EF4-FFF2-40B4-BE49-F238E27FC236}">
              <a16:creationId xmlns:a16="http://schemas.microsoft.com/office/drawing/2014/main" id="{24F2DB03-ECDB-4F60-9A72-ABAAE2AA8B43}"/>
            </a:ext>
          </a:extLst>
        </xdr:cNvPr>
        <xdr:cNvSpPr txBox="1"/>
      </xdr:nvSpPr>
      <xdr:spPr>
        <a:xfrm>
          <a:off x="123178" y="3274543"/>
          <a:ext cx="1306258" cy="257429"/>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t>📆Days to Deliver</a:t>
          </a:r>
        </a:p>
      </xdr:txBody>
    </xdr:sp>
    <xdr:clientData/>
  </xdr:twoCellAnchor>
  <xdr:twoCellAnchor>
    <xdr:from>
      <xdr:col>0</xdr:col>
      <xdr:colOff>182955</xdr:colOff>
      <xdr:row>15</xdr:row>
      <xdr:rowOff>109753</xdr:rowOff>
    </xdr:from>
    <xdr:to>
      <xdr:col>1</xdr:col>
      <xdr:colOff>603642</xdr:colOff>
      <xdr:row>17</xdr:row>
      <xdr:rowOff>70556</xdr:rowOff>
    </xdr:to>
    <xdr:sp macro="" textlink="Pivot!K4">
      <xdr:nvSpPr>
        <xdr:cNvPr id="20" name="TextBox 19">
          <a:extLst>
            <a:ext uri="{FF2B5EF4-FFF2-40B4-BE49-F238E27FC236}">
              <a16:creationId xmlns:a16="http://schemas.microsoft.com/office/drawing/2014/main" id="{415000C5-5946-4B5A-9B9C-B7C1613F9152}"/>
            </a:ext>
          </a:extLst>
        </xdr:cNvPr>
        <xdr:cNvSpPr txBox="1"/>
      </xdr:nvSpPr>
      <xdr:spPr>
        <a:xfrm>
          <a:off x="182955" y="2814383"/>
          <a:ext cx="695070" cy="321420"/>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45F138-BD8D-4DBF-B9D1-7B38C473D95E}" type="TxLink">
            <a:rPr lang="en-US"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pPr marL="0" indent="0"/>
            <a:t>4.0</a:t>
          </a:fld>
          <a:endParaRPr lang="en-IN"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endParaRPr>
        </a:p>
      </xdr:txBody>
    </xdr:sp>
    <xdr:clientData/>
  </xdr:twoCellAnchor>
  <xdr:twoCellAnchor>
    <xdr:from>
      <xdr:col>0</xdr:col>
      <xdr:colOff>143756</xdr:colOff>
      <xdr:row>11</xdr:row>
      <xdr:rowOff>135504</xdr:rowOff>
    </xdr:from>
    <xdr:to>
      <xdr:col>1</xdr:col>
      <xdr:colOff>833632</xdr:colOff>
      <xdr:row>13</xdr:row>
      <xdr:rowOff>127664</xdr:rowOff>
    </xdr:to>
    <xdr:sp macro="" textlink="Pivot!J4">
      <xdr:nvSpPr>
        <xdr:cNvPr id="21" name="TextBox 20">
          <a:extLst>
            <a:ext uri="{FF2B5EF4-FFF2-40B4-BE49-F238E27FC236}">
              <a16:creationId xmlns:a16="http://schemas.microsoft.com/office/drawing/2014/main" id="{C7EBD2BF-C50E-40AF-B8DD-2BEB5425EFD0}"/>
            </a:ext>
          </a:extLst>
        </xdr:cNvPr>
        <xdr:cNvSpPr txBox="1"/>
      </xdr:nvSpPr>
      <xdr:spPr>
        <a:xfrm>
          <a:off x="143756" y="2118899"/>
          <a:ext cx="964259" cy="352777"/>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C4D6C2-2541-4356-8C37-BB72A064F704}" type="TxLink">
            <a:rPr lang="en-US"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rPr>
            <a:pPr marL="0" indent="0"/>
            <a:t>$649.0k</a:t>
          </a:fld>
          <a:endParaRPr lang="en-IN" sz="1800" b="1" i="0" u="none" strike="noStrike">
            <a:gradFill>
              <a:gsLst>
                <a:gs pos="96875">
                  <a:schemeClr val="bg1">
                    <a:lumMod val="75000"/>
                  </a:schemeClr>
                </a:gs>
                <a:gs pos="68000">
                  <a:schemeClr val="bg1">
                    <a:lumMod val="85000"/>
                  </a:schemeClr>
                </a:gs>
              </a:gsLst>
              <a:lin ang="5400000" scaled="1"/>
            </a:gradFill>
            <a:latin typeface="Calibri"/>
            <a:ea typeface="Calibri"/>
            <a:cs typeface="Calibri"/>
          </a:endParaRPr>
        </a:p>
      </xdr:txBody>
    </xdr:sp>
    <xdr:clientData/>
  </xdr:twoCellAnchor>
  <xdr:twoCellAnchor>
    <xdr:from>
      <xdr:col>3</xdr:col>
      <xdr:colOff>446515</xdr:colOff>
      <xdr:row>5</xdr:row>
      <xdr:rowOff>18142</xdr:rowOff>
    </xdr:from>
    <xdr:to>
      <xdr:col>10</xdr:col>
      <xdr:colOff>308428</xdr:colOff>
      <xdr:row>16</xdr:row>
      <xdr:rowOff>27214</xdr:rowOff>
    </xdr:to>
    <xdr:graphicFrame macro="">
      <xdr:nvGraphicFramePr>
        <xdr:cNvPr id="22" name="Chart 21">
          <a:extLst>
            <a:ext uri="{FF2B5EF4-FFF2-40B4-BE49-F238E27FC236}">
              <a16:creationId xmlns:a16="http://schemas.microsoft.com/office/drawing/2014/main" id="{EF791F5D-70DC-4AA5-9DC2-AF484F007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217713</xdr:colOff>
      <xdr:row>5</xdr:row>
      <xdr:rowOff>27214</xdr:rowOff>
    </xdr:from>
    <xdr:to>
      <xdr:col>18</xdr:col>
      <xdr:colOff>408214</xdr:colOff>
      <xdr:row>16</xdr:row>
      <xdr:rowOff>45357</xdr:rowOff>
    </xdr:to>
    <xdr:sp macro="" textlink="">
      <xdr:nvSpPr>
        <xdr:cNvPr id="38" name="Rectangle 37">
          <a:extLst>
            <a:ext uri="{FF2B5EF4-FFF2-40B4-BE49-F238E27FC236}">
              <a16:creationId xmlns:a16="http://schemas.microsoft.com/office/drawing/2014/main" id="{0C55CA72-D3E1-26CC-3ECE-6B24BEDC057C}"/>
            </a:ext>
          </a:extLst>
        </xdr:cNvPr>
        <xdr:cNvSpPr/>
      </xdr:nvSpPr>
      <xdr:spPr>
        <a:xfrm>
          <a:off x="7130142" y="934357"/>
          <a:ext cx="4445001" cy="201385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hhhhhoooooo</a:t>
          </a:r>
        </a:p>
      </xdr:txBody>
    </xdr:sp>
    <xdr:clientData/>
  </xdr:twoCellAnchor>
  <mc:AlternateContent xmlns:mc="http://schemas.openxmlformats.org/markup-compatibility/2006">
    <mc:Choice xmlns:a14="http://schemas.microsoft.com/office/drawing/2010/main" Requires="a14">
      <xdr:twoCellAnchor editAs="oneCell">
        <xdr:from>
          <xdr:col>11</xdr:col>
          <xdr:colOff>580571</xdr:colOff>
          <xdr:row>7</xdr:row>
          <xdr:rowOff>27214</xdr:rowOff>
        </xdr:from>
        <xdr:to>
          <xdr:col>18</xdr:col>
          <xdr:colOff>-1</xdr:colOff>
          <xdr:row>15</xdr:row>
          <xdr:rowOff>108856</xdr:rowOff>
        </xdr:to>
        <xdr:pic>
          <xdr:nvPicPr>
            <xdr:cNvPr id="35" name="Picture 34">
              <a:extLst>
                <a:ext uri="{FF2B5EF4-FFF2-40B4-BE49-F238E27FC236}">
                  <a16:creationId xmlns:a16="http://schemas.microsoft.com/office/drawing/2014/main" id="{ED9C2E54-60D7-B369-4D4A-1165D690EE8C}"/>
                </a:ext>
                <a:ext uri="{C183D7F6-B498-43B3-948B-1728B52AA6E4}">
                  <adec:decorative xmlns:adec="http://schemas.microsoft.com/office/drawing/2017/decorative" val="0"/>
                </a:ext>
              </a:extLst>
            </xdr:cNvPr>
            <xdr:cNvPicPr>
              <a:picLocks noChangeAspect="1" noChangeArrowheads="1"/>
              <a:extLst>
                <a:ext uri="{84589F7E-364E-4C9E-8A38-B11213B215E9}">
                  <a14:cameraTool cellRange="'Matrix-order mode gender'!$H$4:$L$9" spid="_x0000_s3247"/>
                </a:ext>
              </a:extLst>
            </xdr:cNvPicPr>
          </xdr:nvPicPr>
          <xdr:blipFill>
            <a:blip xmlns:r="http://schemas.openxmlformats.org/officeDocument/2006/relationships" r:embed="rId2"/>
            <a:srcRect/>
            <a:stretch>
              <a:fillRect/>
            </a:stretch>
          </xdr:blipFill>
          <xdr:spPr bwMode="auto">
            <a:xfrm>
              <a:off x="7493000" y="1297214"/>
              <a:ext cx="3673928" cy="15330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10</xdr:col>
      <xdr:colOff>514350</xdr:colOff>
      <xdr:row>1</xdr:row>
      <xdr:rowOff>101600</xdr:rowOff>
    </xdr:from>
    <xdr:to>
      <xdr:col>16</xdr:col>
      <xdr:colOff>63500</xdr:colOff>
      <xdr:row>13</xdr:row>
      <xdr:rowOff>88900</xdr:rowOff>
    </xdr:to>
    <xdr:sp macro="" textlink="">
      <xdr:nvSpPr>
        <xdr:cNvPr id="3150" name="AutoShape 78">
          <a:extLst>
            <a:ext uri="{FF2B5EF4-FFF2-40B4-BE49-F238E27FC236}">
              <a16:creationId xmlns:a16="http://schemas.microsoft.com/office/drawing/2014/main" id="{F1D44152-A3E7-D55A-4168-445B44067476}"/>
            </a:ext>
          </a:extLst>
        </xdr:cNvPr>
        <xdr:cNvSpPr>
          <a:spLocks noChangeAspect="1" noChangeArrowheads="1"/>
        </xdr:cNvSpPr>
      </xdr:nvSpPr>
      <xdr:spPr bwMode="auto">
        <a:xfrm>
          <a:off x="6826250" y="285750"/>
          <a:ext cx="3206750" cy="2197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391885</xdr:colOff>
      <xdr:row>17</xdr:row>
      <xdr:rowOff>90715</xdr:rowOff>
    </xdr:from>
    <xdr:to>
      <xdr:col>10</xdr:col>
      <xdr:colOff>308427</xdr:colOff>
      <xdr:row>39</xdr:row>
      <xdr:rowOff>163286</xdr:rowOff>
    </xdr:to>
    <xdr:graphicFrame macro="">
      <xdr:nvGraphicFramePr>
        <xdr:cNvPr id="4" name="Chart 3">
          <a:extLst>
            <a:ext uri="{FF2B5EF4-FFF2-40B4-BE49-F238E27FC236}">
              <a16:creationId xmlns:a16="http://schemas.microsoft.com/office/drawing/2014/main" id="{253A98DB-0150-4CCC-8439-B2712679B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99786</xdr:colOff>
      <xdr:row>32</xdr:row>
      <xdr:rowOff>90713</xdr:rowOff>
    </xdr:from>
    <xdr:to>
      <xdr:col>8</xdr:col>
      <xdr:colOff>99786</xdr:colOff>
      <xdr:row>39</xdr:row>
      <xdr:rowOff>99786</xdr:rowOff>
    </xdr:to>
    <xdr:graphicFrame macro="">
      <xdr:nvGraphicFramePr>
        <xdr:cNvPr id="7" name="Chart 6">
          <a:extLst>
            <a:ext uri="{FF2B5EF4-FFF2-40B4-BE49-F238E27FC236}">
              <a16:creationId xmlns:a16="http://schemas.microsoft.com/office/drawing/2014/main" id="{32804B5A-2D6F-46D9-BBCB-6843F1FA1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217714</xdr:colOff>
      <xdr:row>17</xdr:row>
      <xdr:rowOff>108857</xdr:rowOff>
    </xdr:from>
    <xdr:to>
      <xdr:col>18</xdr:col>
      <xdr:colOff>462643</xdr:colOff>
      <xdr:row>40</xdr:row>
      <xdr:rowOff>9071</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AB3177AE-8C66-47AC-89FF-49ED79CF5B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139214" y="3239407"/>
              <a:ext cx="4512129" cy="41356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244928</xdr:colOff>
      <xdr:row>21</xdr:row>
      <xdr:rowOff>99786</xdr:rowOff>
    </xdr:from>
    <xdr:to>
      <xdr:col>17</xdr:col>
      <xdr:colOff>371929</xdr:colOff>
      <xdr:row>32</xdr:row>
      <xdr:rowOff>9072</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4B1F5316-971D-4A08-8200-341A8D927F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604828" y="3966936"/>
              <a:ext cx="1346201" cy="19349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281215</xdr:colOff>
      <xdr:row>17</xdr:row>
      <xdr:rowOff>163284</xdr:rowOff>
    </xdr:from>
    <xdr:to>
      <xdr:col>25</xdr:col>
      <xdr:colOff>598713</xdr:colOff>
      <xdr:row>28</xdr:row>
      <xdr:rowOff>18143</xdr:rowOff>
    </xdr:to>
    <xdr:graphicFrame macro="">
      <xdr:nvGraphicFramePr>
        <xdr:cNvPr id="26" name="Chart 25">
          <a:extLst>
            <a:ext uri="{FF2B5EF4-FFF2-40B4-BE49-F238E27FC236}">
              <a16:creationId xmlns:a16="http://schemas.microsoft.com/office/drawing/2014/main" id="{FCA96611-7A94-40ED-9462-0C2C93E20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281213</xdr:colOff>
      <xdr:row>29</xdr:row>
      <xdr:rowOff>117928</xdr:rowOff>
    </xdr:from>
    <xdr:to>
      <xdr:col>26</xdr:col>
      <xdr:colOff>9070</xdr:colOff>
      <xdr:row>39</xdr:row>
      <xdr:rowOff>154215</xdr:rowOff>
    </xdr:to>
    <xdr:graphicFrame macro="">
      <xdr:nvGraphicFramePr>
        <xdr:cNvPr id="27" name="Chart 26">
          <a:extLst>
            <a:ext uri="{FF2B5EF4-FFF2-40B4-BE49-F238E27FC236}">
              <a16:creationId xmlns:a16="http://schemas.microsoft.com/office/drawing/2014/main" id="{ABF86FC0-4D71-47C2-8C79-9005808DF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199571</xdr:colOff>
      <xdr:row>21</xdr:row>
      <xdr:rowOff>154214</xdr:rowOff>
    </xdr:from>
    <xdr:to>
      <xdr:col>1</xdr:col>
      <xdr:colOff>1306285</xdr:colOff>
      <xdr:row>31</xdr:row>
      <xdr:rowOff>72571</xdr:rowOff>
    </xdr:to>
    <mc:AlternateContent xmlns:mc="http://schemas.openxmlformats.org/markup-compatibility/2006" xmlns:a14="http://schemas.microsoft.com/office/drawing/2010/main">
      <mc:Choice Requires="a14">
        <xdr:graphicFrame macro="">
          <xdr:nvGraphicFramePr>
            <xdr:cNvPr id="29" name="Order Mode">
              <a:extLst>
                <a:ext uri="{FF2B5EF4-FFF2-40B4-BE49-F238E27FC236}">
                  <a16:creationId xmlns:a16="http://schemas.microsoft.com/office/drawing/2014/main" id="{DF12D4C4-17F8-4A70-AF70-61A66202DE2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99571" y="3964214"/>
              <a:ext cx="1378857" cy="1977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199570</xdr:colOff>
      <xdr:row>32</xdr:row>
      <xdr:rowOff>1</xdr:rowOff>
    </xdr:from>
    <xdr:to>
      <xdr:col>1</xdr:col>
      <xdr:colOff>1315356</xdr:colOff>
      <xdr:row>39</xdr:row>
      <xdr:rowOff>163286</xdr:rowOff>
    </xdr:to>
    <mc:AlternateContent xmlns:mc="http://schemas.openxmlformats.org/markup-compatibility/2006" xmlns:a14="http://schemas.microsoft.com/office/drawing/2010/main">
      <mc:Choice Requires="a14">
        <xdr:graphicFrame macro="">
          <xdr:nvGraphicFramePr>
            <xdr:cNvPr id="30" name="Gender Value">
              <a:extLst>
                <a:ext uri="{FF2B5EF4-FFF2-40B4-BE49-F238E27FC236}">
                  <a16:creationId xmlns:a16="http://schemas.microsoft.com/office/drawing/2014/main" id="{4F68B24A-FB0E-4B8D-9150-F425E9C0235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99570" y="5805715"/>
              <a:ext cx="1387929" cy="1433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263070</xdr:colOff>
      <xdr:row>1</xdr:row>
      <xdr:rowOff>108855</xdr:rowOff>
    </xdr:from>
    <xdr:ext cx="3311072" cy="280205"/>
    <xdr:sp macro="" textlink="">
      <xdr:nvSpPr>
        <xdr:cNvPr id="31" name="TextBox 30">
          <a:extLst>
            <a:ext uri="{FF2B5EF4-FFF2-40B4-BE49-F238E27FC236}">
              <a16:creationId xmlns:a16="http://schemas.microsoft.com/office/drawing/2014/main" id="{EE8757AD-EF86-B844-EAD6-5AC5C9EB3D9A}"/>
            </a:ext>
          </a:extLst>
        </xdr:cNvPr>
        <xdr:cNvSpPr txBox="1"/>
      </xdr:nvSpPr>
      <xdr:spPr>
        <a:xfrm flipH="1">
          <a:off x="7783284" y="290284"/>
          <a:ext cx="331107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IN" sz="1200" b="1"/>
        </a:p>
      </xdr:txBody>
    </xdr:sp>
    <xdr:clientData/>
  </xdr:oneCellAnchor>
  <xdr:twoCellAnchor editAs="oneCell">
    <xdr:from>
      <xdr:col>0</xdr:col>
      <xdr:colOff>0</xdr:colOff>
      <xdr:row>0</xdr:row>
      <xdr:rowOff>127000</xdr:rowOff>
    </xdr:from>
    <xdr:to>
      <xdr:col>1</xdr:col>
      <xdr:colOff>1271187</xdr:colOff>
      <xdr:row>3</xdr:row>
      <xdr:rowOff>27336</xdr:rowOff>
    </xdr:to>
    <xdr:pic>
      <xdr:nvPicPr>
        <xdr:cNvPr id="2" name="Picture 1">
          <a:extLst>
            <a:ext uri="{FF2B5EF4-FFF2-40B4-BE49-F238E27FC236}">
              <a16:creationId xmlns:a16="http://schemas.microsoft.com/office/drawing/2014/main" id="{51089375-C76D-494D-986B-F67D20803BF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0" y="127000"/>
          <a:ext cx="1543330" cy="444622"/>
        </a:xfrm>
        <a:prstGeom prst="rect">
          <a:avLst/>
        </a:prstGeom>
      </xdr:spPr>
    </xdr:pic>
    <xdr:clientData/>
  </xdr:twoCellAnchor>
  <xdr:twoCellAnchor>
    <xdr:from>
      <xdr:col>19</xdr:col>
      <xdr:colOff>244931</xdr:colOff>
      <xdr:row>5</xdr:row>
      <xdr:rowOff>36286</xdr:rowOff>
    </xdr:from>
    <xdr:to>
      <xdr:col>25</xdr:col>
      <xdr:colOff>580572</xdr:colOff>
      <xdr:row>16</xdr:row>
      <xdr:rowOff>27216</xdr:rowOff>
    </xdr:to>
    <xdr:graphicFrame macro="">
      <xdr:nvGraphicFramePr>
        <xdr:cNvPr id="3" name="Chart 2">
          <a:extLst>
            <a:ext uri="{FF2B5EF4-FFF2-40B4-BE49-F238E27FC236}">
              <a16:creationId xmlns:a16="http://schemas.microsoft.com/office/drawing/2014/main" id="{A50CDE0D-A6C5-4BB1-B8C6-760C9405A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526142</xdr:colOff>
      <xdr:row>5</xdr:row>
      <xdr:rowOff>27214</xdr:rowOff>
    </xdr:from>
    <xdr:to>
      <xdr:col>16</xdr:col>
      <xdr:colOff>263072</xdr:colOff>
      <xdr:row>7</xdr:row>
      <xdr:rowOff>39914</xdr:rowOff>
    </xdr:to>
    <xdr:sp macro="" textlink="">
      <xdr:nvSpPr>
        <xdr:cNvPr id="23" name="TextBox 22">
          <a:extLst>
            <a:ext uri="{FF2B5EF4-FFF2-40B4-BE49-F238E27FC236}">
              <a16:creationId xmlns:a16="http://schemas.microsoft.com/office/drawing/2014/main" id="{EC29BE7E-85F5-40ED-B3E9-E644F516D62F}"/>
            </a:ext>
          </a:extLst>
        </xdr:cNvPr>
        <xdr:cNvSpPr txBox="1"/>
      </xdr:nvSpPr>
      <xdr:spPr>
        <a:xfrm>
          <a:off x="8654142" y="934357"/>
          <a:ext cx="1560287" cy="37555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How</a:t>
          </a:r>
          <a:r>
            <a:rPr lang="en-IN" sz="1100" b="1" baseline="0"/>
            <a:t> they like to buy?</a:t>
          </a:r>
          <a:endParaRPr lang="en-IN" sz="1100" b="1"/>
        </a:p>
      </xdr:txBody>
    </xdr:sp>
    <xdr:clientData/>
  </xdr:twoCellAnchor>
  <xdr:twoCellAnchor>
    <xdr:from>
      <xdr:col>2</xdr:col>
      <xdr:colOff>36429</xdr:colOff>
      <xdr:row>0</xdr:row>
      <xdr:rowOff>0</xdr:rowOff>
    </xdr:from>
    <xdr:to>
      <xdr:col>27</xdr:col>
      <xdr:colOff>208642</xdr:colOff>
      <xdr:row>4</xdr:row>
      <xdr:rowOff>90715</xdr:rowOff>
    </xdr:to>
    <xdr:sp macro="" textlink="">
      <xdr:nvSpPr>
        <xdr:cNvPr id="24" name="Rectangle 23">
          <a:extLst>
            <a:ext uri="{FF2B5EF4-FFF2-40B4-BE49-F238E27FC236}">
              <a16:creationId xmlns:a16="http://schemas.microsoft.com/office/drawing/2014/main" id="{A13504E4-2F19-D932-37A6-A298083635E7}"/>
            </a:ext>
          </a:extLst>
        </xdr:cNvPr>
        <xdr:cNvSpPr/>
      </xdr:nvSpPr>
      <xdr:spPr>
        <a:xfrm>
          <a:off x="1778143" y="0"/>
          <a:ext cx="15067499" cy="816429"/>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solidFill>
                <a:schemeClr val="bg1"/>
              </a:solidFill>
              <a:latin typeface="Algerian" panose="04020705040A02060702" pitchFamily="82" charset="0"/>
            </a:rPr>
            <a:t>E-commerce</a:t>
          </a:r>
          <a:r>
            <a:rPr lang="en-IN" sz="4400" baseline="0">
              <a:solidFill>
                <a:schemeClr val="bg1"/>
              </a:solidFill>
              <a:latin typeface="Algerian" panose="04020705040A02060702" pitchFamily="82" charset="0"/>
            </a:rPr>
            <a:t> Sales Analysis Dashboard</a:t>
          </a:r>
          <a:endParaRPr lang="en-IN" sz="4400">
            <a:solidFill>
              <a:schemeClr val="bg1"/>
            </a:solidFill>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U" refreshedDate="46049.565127083333" createdVersion="8" refreshedVersion="8" minRefreshableVersion="3" recordCount="2400" xr:uid="{3F2ADAB5-87F9-4B9E-8B60-C94E4D44E636}">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84387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144C8B-261D-4319-8704-35A6F36B6396}"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67469-11FF-4382-8A2A-8337564AA8CB}" name="Pvt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52:F74" firstHeaderRow="1" firstDataRow="2" firstDataCol="1"/>
  <pivotFields count="18">
    <pivotField showAll="0"/>
    <pivotField axis="axisRow" showAll="0" sortType="descending" defaultSubtotal="0">
      <items count="20">
        <item x="3"/>
        <item x="8"/>
        <item x="13"/>
        <item x="1"/>
        <item x="16"/>
        <item x="9"/>
        <item x="2"/>
        <item x="0"/>
        <item x="5"/>
        <item x="17"/>
        <item x="11"/>
        <item x="18"/>
        <item x="19"/>
        <item x="6"/>
        <item x="7"/>
        <item x="4"/>
        <item x="15"/>
        <item x="12"/>
        <item x="10"/>
        <item x="14"/>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
    </i>
    <i>
      <x v="13"/>
    </i>
    <i>
      <x v="6"/>
    </i>
    <i>
      <x v="3"/>
    </i>
    <i>
      <x v="18"/>
    </i>
    <i>
      <x v="7"/>
    </i>
    <i>
      <x v="5"/>
    </i>
    <i>
      <x v="15"/>
    </i>
    <i>
      <x v="14"/>
    </i>
    <i>
      <x v="8"/>
    </i>
    <i>
      <x v="16"/>
    </i>
    <i>
      <x v="11"/>
    </i>
    <i>
      <x v="17"/>
    </i>
    <i>
      <x/>
    </i>
    <i>
      <x v="9"/>
    </i>
    <i>
      <x v="10"/>
    </i>
    <i>
      <x v="4"/>
    </i>
    <i>
      <x v="2"/>
    </i>
    <i>
      <x v="19"/>
    </i>
    <i>
      <x v="12"/>
    </i>
    <i t="grand">
      <x/>
    </i>
  </rowItems>
  <colFields count="1">
    <field x="14"/>
  </colFields>
  <colItems count="5">
    <i>
      <x/>
    </i>
    <i>
      <x v="1"/>
    </i>
    <i>
      <x v="2"/>
    </i>
    <i>
      <x v="3"/>
    </i>
    <i t="grand">
      <x/>
    </i>
  </colItems>
  <dataFields count="1">
    <dataField name="Sum of Quantity" fld="2" baseField="0" baseItem="0"/>
  </dataFields>
  <chartFormats count="4">
    <chartFormat chart="63" format="40" series="1">
      <pivotArea type="data" outline="0" fieldPosition="0">
        <references count="2">
          <reference field="4294967294" count="1" selected="0">
            <x v="0"/>
          </reference>
          <reference field="14" count="1" selected="0">
            <x v="0"/>
          </reference>
        </references>
      </pivotArea>
    </chartFormat>
    <chartFormat chart="63" format="41" series="1">
      <pivotArea type="data" outline="0" fieldPosition="0">
        <references count="2">
          <reference field="4294967294" count="1" selected="0">
            <x v="0"/>
          </reference>
          <reference field="14" count="1" selected="0">
            <x v="1"/>
          </reference>
        </references>
      </pivotArea>
    </chartFormat>
    <chartFormat chart="63" format="42" series="1">
      <pivotArea type="data" outline="0" fieldPosition="0">
        <references count="2">
          <reference field="4294967294" count="1" selected="0">
            <x v="0"/>
          </reference>
          <reference field="14" count="1" selected="0">
            <x v="2"/>
          </reference>
        </references>
      </pivotArea>
    </chartFormat>
    <chartFormat chart="63" format="4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221EAE-A47A-4B0E-AA7E-071903D6FA48}" name="Pvt custom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8">
  <location ref="A173:G178" firstHeaderRow="1" firstDataRow="2"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20">
        <item x="3"/>
        <item x="8"/>
        <item x="13"/>
        <item x="1"/>
        <item x="16"/>
        <item x="9"/>
        <item x="2"/>
        <item x="0"/>
        <item x="5"/>
        <item x="17"/>
        <item x="11"/>
        <item x="18"/>
        <item x="19"/>
        <item x="6"/>
        <item x="7"/>
        <item x="4"/>
        <item x="15"/>
        <item x="12"/>
        <item x="10"/>
        <item x="14"/>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axis="axisCol" compact="0" outline="0" showAll="0" defaultSubtotal="0">
      <items count="5">
        <item x="3"/>
        <item x="4"/>
        <item x="1"/>
        <item x="0"/>
        <item x="2"/>
      </items>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axis="axisRow"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75" format="13" series="1">
      <pivotArea type="data" outline="0" fieldPosition="0">
        <references count="2">
          <reference field="4294967294" count="1" selected="0">
            <x v="0"/>
          </reference>
          <reference field="9" count="1" selected="0">
            <x v="0"/>
          </reference>
        </references>
      </pivotArea>
    </chartFormat>
    <chartFormat chart="75" format="14" series="1">
      <pivotArea type="data" outline="0" fieldPosition="0">
        <references count="2">
          <reference field="4294967294" count="1" selected="0">
            <x v="0"/>
          </reference>
          <reference field="9" count="1" selected="0">
            <x v="1"/>
          </reference>
        </references>
      </pivotArea>
    </chartFormat>
    <chartFormat chart="75" format="15" series="1">
      <pivotArea type="data" outline="0" fieldPosition="0">
        <references count="2">
          <reference field="4294967294" count="1" selected="0">
            <x v="0"/>
          </reference>
          <reference field="9" count="1" selected="0">
            <x v="2"/>
          </reference>
        </references>
      </pivotArea>
    </chartFormat>
    <chartFormat chart="75" format="16" series="1">
      <pivotArea type="data" outline="0" fieldPosition="0">
        <references count="2">
          <reference field="4294967294" count="1" selected="0">
            <x v="0"/>
          </reference>
          <reference field="9" count="1" selected="0">
            <x v="3"/>
          </reference>
        </references>
      </pivotArea>
    </chartFormat>
    <chartFormat chart="75"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B1571-0105-4DDF-BDA7-A89E65332F9F}" name="Pvt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5">
    <format dxfId="69">
      <pivotArea collapsedLevelsAreSubtotals="1" fieldPosition="0">
        <references count="2">
          <reference field="4294967294" count="1" selected="0">
            <x v="1"/>
          </reference>
          <reference field="13" count="12">
            <x v="1"/>
            <x v="2"/>
            <x v="3"/>
            <x v="4"/>
            <x v="5"/>
            <x v="6"/>
            <x v="7"/>
            <x v="8"/>
            <x v="9"/>
            <x v="10"/>
            <x v="11"/>
            <x v="12"/>
          </reference>
        </references>
      </pivotArea>
    </format>
    <format dxfId="68">
      <pivotArea field="13" grandRow="1" outline="0" collapsedLevelsAreSubtotals="1" axis="axisRow" fieldPosition="0">
        <references count="1">
          <reference field="4294967294" count="1" selected="0">
            <x v="1"/>
          </reference>
        </references>
      </pivotArea>
    </format>
    <format dxfId="67">
      <pivotArea collapsedLevelsAreSubtotals="1" fieldPosition="0">
        <references count="2">
          <reference field="4294967294" count="1" selected="0">
            <x v="1"/>
          </reference>
          <reference field="13" count="1">
            <x v="0"/>
          </reference>
        </references>
      </pivotArea>
    </format>
    <format dxfId="66">
      <pivotArea collapsedLevelsAreSubtotals="1" fieldPosition="0">
        <references count="2">
          <reference field="4294967294" count="1" selected="0">
            <x v="1"/>
          </reference>
          <reference field="13" count="1">
            <x v="0"/>
          </reference>
        </references>
      </pivotArea>
    </format>
    <format dxfId="65">
      <pivotArea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B954BA-86A0-4C98-909F-1B03283D70F9}" name="Pvt Shipment"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71">
  <location ref="A146:B162" firstHeaderRow="1" firstDataRow="1"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20">
        <item x="3"/>
        <item x="8"/>
        <item x="13"/>
        <item x="1"/>
        <item x="16"/>
        <item x="9"/>
        <item x="2"/>
        <item x="0"/>
        <item x="5"/>
        <item x="17"/>
        <item x="11"/>
        <item x="18"/>
        <item x="19"/>
        <item x="6"/>
        <item x="7"/>
        <item x="4"/>
        <item x="15"/>
        <item x="12"/>
        <item x="10"/>
        <item x="14"/>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axis="axisRow"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71448-EE2A-4A1C-9A5D-C25D1638C73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I53:J58" firstHeaderRow="1" firstDataRow="1" firstDataCol="1"/>
  <pivotFields count="18">
    <pivotField showAll="0"/>
    <pivotField showAll="0" defaultSubtotal="0">
      <items count="20">
        <item x="3"/>
        <item x="8"/>
        <item x="13"/>
        <item x="1"/>
        <item x="16"/>
        <item x="9"/>
        <item x="2"/>
        <item x="0"/>
        <item x="5"/>
        <item x="17"/>
        <item x="11"/>
        <item x="18"/>
        <item x="19"/>
        <item x="6"/>
        <item x="7"/>
        <item x="4"/>
        <item x="15"/>
        <item x="12"/>
        <item x="10"/>
        <item x="14"/>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71" format="6" series="1">
      <pivotArea type="data" outline="0" fieldPosition="0">
        <references count="1">
          <reference field="4294967294" count="1" selected="0">
            <x v="0"/>
          </reference>
        </references>
      </pivotArea>
    </chartFormat>
    <chartFormat chart="71" format="7">
      <pivotArea type="data" outline="0" fieldPosition="0">
        <references count="2">
          <reference field="4294967294" count="1" selected="0">
            <x v="0"/>
          </reference>
          <reference field="14" count="1" selected="0">
            <x v="0"/>
          </reference>
        </references>
      </pivotArea>
    </chartFormat>
    <chartFormat chart="71" format="8">
      <pivotArea type="data" outline="0" fieldPosition="0">
        <references count="2">
          <reference field="4294967294" count="1" selected="0">
            <x v="0"/>
          </reference>
          <reference field="14" count="1" selected="0">
            <x v="1"/>
          </reference>
        </references>
      </pivotArea>
    </chartFormat>
    <chartFormat chart="71" format="9">
      <pivotArea type="data" outline="0" fieldPosition="0">
        <references count="2">
          <reference field="4294967294" count="1" selected="0">
            <x v="0"/>
          </reference>
          <reference field="14" count="1" selected="0">
            <x v="2"/>
          </reference>
        </references>
      </pivotArea>
    </chartFormat>
    <chartFormat chart="7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675453-3CDD-44C4-9650-61E3AA82D59C}" name="Pvt Geographica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5">
  <location ref="A81:D139"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3"/>
        <item x="8"/>
        <item x="13"/>
        <item x="1"/>
        <item x="16"/>
        <item x="9"/>
        <item x="2"/>
        <item x="0"/>
        <item x="5"/>
        <item x="17"/>
        <item x="11"/>
        <item x="18"/>
        <item x="19"/>
        <item x="6"/>
        <item x="7"/>
        <item x="4"/>
        <item x="15"/>
        <item x="12"/>
        <item x="10"/>
        <item x="14"/>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17E37E-386B-4018-A00C-1365789DAFAF}" name="Pvt 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35:B4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58" format="0"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CD26C8-919A-4084-9FA1-29F2545A2E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82BD217-FF4A-4B86-A98C-0781FE60DC85}" sourceName="Order Mode">
  <pivotTables>
    <pivotTable tabId="5" name="Pvt customer"/>
    <pivotTable tabId="5" name="Pvt Geographical"/>
    <pivotTable tabId="5" name="Pvt order"/>
    <pivotTable tabId="5" name="Pvt Product"/>
    <pivotTable tabId="5" name="Pvt Shipment"/>
    <pivotTable tabId="5" name="Pvt Trend"/>
    <pivotTable tabId="5" name="pvtsummary"/>
    <pivotTable tabId="8" name="PivotTable6"/>
  </pivotTables>
  <data>
    <tabular pivotCacheId="184387254">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D8AAF1C-66B7-4EF8-B588-C2E1219002CE}" sourceName="Gender Value">
  <pivotTables>
    <pivotTable tabId="5" name="Pvt customer"/>
    <pivotTable tabId="5" name="Pvt Geographical"/>
    <pivotTable tabId="5" name="Pvt Product"/>
    <pivotTable tabId="5" name="Pvt Shipment"/>
    <pivotTable tabId="5" name="Pvt Trend"/>
    <pivotTable tabId="5" name="pvtsummary"/>
    <pivotTable tabId="8" name="PivotTable6"/>
  </pivotTables>
  <data>
    <tabular pivotCacheId="18438725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6E595DE3-FD41-4ED0-BDB7-8607D279F338}" cache="Slicer_Order_Mode" caption="Order Mode" rowHeight="241300"/>
  <slicer name="Gender Value" xr10:uid="{4A5568C0-8046-4186-95B9-F6503F12B769}" cache="Slicer_Gender_Value" caption="Gender Valu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746238-74D3-476D-99E6-42183F1D0B34}" name="orders" displayName="orders" ref="A1:O2401" totalsRowShown="0">
  <tableColumns count="15">
    <tableColumn id="1" xr3:uid="{52A630BC-AA7F-4D46-A6C8-D0E691A0849B}" name="TX ID"/>
    <tableColumn id="2" xr3:uid="{E8885C77-0D1A-4424-8BEB-F3465E418BB2}" name="Product"/>
    <tableColumn id="3" xr3:uid="{891569F0-FE49-45D4-BC8D-5FB174310195}" name="Quantity"/>
    <tableColumn id="4" xr3:uid="{0B052804-A3C0-4D10-BD5D-8FCD5B38CC19}" name="Unit Price"/>
    <tableColumn id="5" xr3:uid="{41F74E9B-287D-4931-9B95-13F491E4BD4D}" name="Amount"/>
    <tableColumn id="6" xr3:uid="{052F629D-D3C2-4EDD-99B5-C6012D0F3D05}" name="Order Date" dataDxfId="64"/>
    <tableColumn id="7" xr3:uid="{C79967BD-9227-4B70-A688-DB243B9A3997}" name="Ship Date" dataDxfId="63"/>
    <tableColumn id="8" xr3:uid="{4D393DDB-3C17-4742-8FF8-DCB5B8B46035}" name="Customer Gender"/>
    <tableColumn id="9" xr3:uid="{1B6D6943-8B12-4CAB-B917-AB50D6AEBF44}" name="Order Mode"/>
    <tableColumn id="10" xr3:uid="{458B369A-6281-4A39-9F13-7B5F5754A03C}" name="Rating C"/>
    <tableColumn id="15" xr3:uid="{78CBBE03-0175-4F33-A48C-9B851BD4E17B}" name="State"/>
    <tableColumn id="14" xr3:uid="{2FC2BE63-143B-450B-97D3-A3F34A819DBC}" name="County"/>
    <tableColumn id="11" xr3:uid="{1D799AD7-2215-4CFA-B55D-FD339294544E}" name="Days to Deliver" dataDxfId="62">
      <calculatedColumnFormula>orders[[#This Row],[Ship Date]]-orders[[#This Row],[Order Date]]</calculatedColumnFormula>
    </tableColumn>
    <tableColumn id="12" xr3:uid="{F8D13AA7-49CD-4C13-9E44-A0D6BCF6EDFA}" name="Weeknum" dataDxfId="61">
      <calculatedColumnFormula>WEEKNUM(orders[[#This Row],[Order Date]])</calculatedColumnFormula>
    </tableColumn>
    <tableColumn id="13" xr3:uid="{6C7F27BA-958E-4BCC-8A7C-801C4B36C8F8}" name="Gender Value" dataDxfId="6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64B8F-8EE0-443D-A8E7-03100180F7E3}">
  <dimension ref="A1"/>
  <sheetViews>
    <sheetView tabSelected="1" topLeftCell="A11" zoomScale="70" zoomScaleNormal="70" workbookViewId="0">
      <selection activeCell="G45" sqref="G45"/>
    </sheetView>
  </sheetViews>
  <sheetFormatPr defaultRowHeight="14.5" x14ac:dyDescent="0.35"/>
  <cols>
    <col min="1" max="1" width="3.90625" customWidth="1"/>
    <col min="2" max="2" width="21" customWidth="1"/>
    <col min="3" max="3" width="4.36328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3D2B-98B8-410A-878C-D3218B4E85A0}">
  <sheetPr>
    <pageSetUpPr autoPageBreaks="0"/>
  </sheetPr>
  <dimension ref="A2:L178"/>
  <sheetViews>
    <sheetView topLeftCell="A101" zoomScale="110" zoomScaleNormal="110" workbookViewId="0">
      <selection activeCell="I54" sqref="I54:I57"/>
      <pivotSelection pane="bottomRight" showHeader="1" axis="axisRow" activeRow="53" activeCol="8" previousRow="53" previousCol="8" click="1" r:id="rId6">
        <pivotArea dataOnly="0" labelOnly="1" fieldPosition="0">
          <references count="1">
            <reference field="14" count="0"/>
          </references>
        </pivotArea>
      </pivotSelection>
    </sheetView>
  </sheetViews>
  <sheetFormatPr defaultRowHeight="14.5" x14ac:dyDescent="0.35"/>
  <cols>
    <col min="1" max="1" width="13" bestFit="1" customWidth="1"/>
    <col min="2" max="2" width="14.54296875" bestFit="1" customWidth="1"/>
    <col min="3" max="3" width="14" bestFit="1" customWidth="1"/>
    <col min="4" max="4" width="17.1796875" bestFit="1" customWidth="1"/>
    <col min="5" max="5" width="23" bestFit="1" customWidth="1"/>
    <col min="6" max="7" width="10.7265625" bestFit="1" customWidth="1"/>
    <col min="8" max="8" width="8.81640625" bestFit="1" customWidth="1"/>
    <col min="9" max="9" width="12.36328125" bestFit="1" customWidth="1"/>
    <col min="10" max="10" width="14.54296875" bestFit="1" customWidth="1"/>
    <col min="11" max="11" width="20.36328125" bestFit="1" customWidth="1"/>
    <col min="12" max="32" width="8.81640625" bestFit="1" customWidth="1"/>
    <col min="33" max="60" width="9.08984375" bestFit="1" customWidth="1"/>
    <col min="61" max="89" width="9.54296875" bestFit="1" customWidth="1"/>
  </cols>
  <sheetData>
    <row r="2" spans="1:12" x14ac:dyDescent="0.35">
      <c r="H2" s="19" t="s">
        <v>2508</v>
      </c>
      <c r="I2" s="19"/>
      <c r="J2" s="19"/>
    </row>
    <row r="3" spans="1:12" x14ac:dyDescent="0.35">
      <c r="A3" t="s">
        <v>2503</v>
      </c>
      <c r="B3" t="s">
        <v>2504</v>
      </c>
      <c r="C3" t="s">
        <v>2505</v>
      </c>
      <c r="D3" t="s">
        <v>2507</v>
      </c>
      <c r="E3" t="s">
        <v>2506</v>
      </c>
      <c r="H3" t="s">
        <v>2509</v>
      </c>
      <c r="I3" t="s">
        <v>2510</v>
      </c>
      <c r="J3" t="s">
        <v>4</v>
      </c>
      <c r="K3" t="s">
        <v>2511</v>
      </c>
      <c r="L3" t="s">
        <v>2512</v>
      </c>
    </row>
    <row r="4" spans="1:12" x14ac:dyDescent="0.35">
      <c r="A4" s="21">
        <v>2400</v>
      </c>
      <c r="B4" s="21">
        <v>11997</v>
      </c>
      <c r="C4" s="21">
        <v>649019.80000000144</v>
      </c>
      <c r="D4" s="21">
        <v>3.9620833333333332</v>
      </c>
      <c r="E4" s="21">
        <v>2.3424999999999998</v>
      </c>
      <c r="H4" t="str">
        <f>TEXT(A4,"#,##")</f>
        <v>2,400</v>
      </c>
      <c r="I4" t="str">
        <f>TEXT(B4,"#,##")</f>
        <v>11,997</v>
      </c>
      <c r="J4" t="str">
        <f>TEXT(C4,"$#,##,.0k")</f>
        <v>$649.0k</v>
      </c>
      <c r="K4" t="str">
        <f>TEXT(D4,"0.0")</f>
        <v>4.0</v>
      </c>
      <c r="L4" t="str">
        <f>TEXT(E4,"0.0")</f>
        <v>2.3</v>
      </c>
    </row>
    <row r="8" spans="1:12" x14ac:dyDescent="0.35">
      <c r="A8" s="17" t="s">
        <v>2521</v>
      </c>
    </row>
    <row r="10" spans="1:12" x14ac:dyDescent="0.35">
      <c r="A10" s="5" t="s">
        <v>2513</v>
      </c>
      <c r="B10" t="s">
        <v>2504</v>
      </c>
      <c r="C10" t="s">
        <v>2505</v>
      </c>
    </row>
    <row r="11" spans="1:12" x14ac:dyDescent="0.35">
      <c r="A11" s="4">
        <v>1</v>
      </c>
      <c r="B11" s="21">
        <v>546</v>
      </c>
      <c r="C11" s="6">
        <v>32413.300000000003</v>
      </c>
    </row>
    <row r="12" spans="1:12" x14ac:dyDescent="0.35">
      <c r="A12" s="4">
        <v>2</v>
      </c>
      <c r="B12" s="21">
        <v>905</v>
      </c>
      <c r="C12" s="6">
        <v>49562.999999999993</v>
      </c>
    </row>
    <row r="13" spans="1:12" x14ac:dyDescent="0.35">
      <c r="A13" s="4">
        <v>3</v>
      </c>
      <c r="B13" s="21">
        <v>796</v>
      </c>
      <c r="C13" s="6">
        <v>41700.400000000016</v>
      </c>
    </row>
    <row r="14" spans="1:12" x14ac:dyDescent="0.35">
      <c r="A14" s="4">
        <v>4</v>
      </c>
      <c r="B14" s="21">
        <v>913</v>
      </c>
      <c r="C14" s="6">
        <v>46782.599999999984</v>
      </c>
    </row>
    <row r="15" spans="1:12" x14ac:dyDescent="0.35">
      <c r="A15" s="4">
        <v>5</v>
      </c>
      <c r="B15" s="21">
        <v>844</v>
      </c>
      <c r="C15" s="6">
        <v>42676.100000000006</v>
      </c>
    </row>
    <row r="16" spans="1:12" x14ac:dyDescent="0.35">
      <c r="A16" s="4">
        <v>6</v>
      </c>
      <c r="B16" s="21">
        <v>1202</v>
      </c>
      <c r="C16" s="6">
        <v>62910.7</v>
      </c>
    </row>
    <row r="17" spans="1:3" x14ac:dyDescent="0.35">
      <c r="A17" s="4">
        <v>7</v>
      </c>
      <c r="B17" s="21">
        <v>935</v>
      </c>
      <c r="C17" s="6">
        <v>50332.200000000004</v>
      </c>
    </row>
    <row r="18" spans="1:3" x14ac:dyDescent="0.35">
      <c r="A18" s="4">
        <v>8</v>
      </c>
      <c r="B18" s="21">
        <v>1128</v>
      </c>
      <c r="C18" s="6">
        <v>58760.599999999977</v>
      </c>
    </row>
    <row r="19" spans="1:3" x14ac:dyDescent="0.35">
      <c r="A19" s="4">
        <v>9</v>
      </c>
      <c r="B19" s="21">
        <v>1007</v>
      </c>
      <c r="C19" s="6">
        <v>52017.299999999996</v>
      </c>
    </row>
    <row r="20" spans="1:3" x14ac:dyDescent="0.35">
      <c r="A20" s="4">
        <v>10</v>
      </c>
      <c r="B20" s="21">
        <v>1128</v>
      </c>
      <c r="C20" s="6">
        <v>64915.700000000033</v>
      </c>
    </row>
    <row r="21" spans="1:3" x14ac:dyDescent="0.35">
      <c r="A21" s="4">
        <v>11</v>
      </c>
      <c r="B21" s="21">
        <v>861</v>
      </c>
      <c r="C21" s="6">
        <v>45943.80000000001</v>
      </c>
    </row>
    <row r="22" spans="1:3" x14ac:dyDescent="0.35">
      <c r="A22" s="4">
        <v>12</v>
      </c>
      <c r="B22" s="21">
        <v>944</v>
      </c>
      <c r="C22" s="6">
        <v>55077.900000000031</v>
      </c>
    </row>
    <row r="23" spans="1:3" x14ac:dyDescent="0.35">
      <c r="A23" s="4">
        <v>13</v>
      </c>
      <c r="B23" s="21">
        <v>788</v>
      </c>
      <c r="C23" s="6">
        <v>45926.19999999999</v>
      </c>
    </row>
    <row r="24" spans="1:3" x14ac:dyDescent="0.35">
      <c r="A24" s="4" t="s">
        <v>2514</v>
      </c>
      <c r="B24" s="21">
        <v>11997</v>
      </c>
      <c r="C24" s="6">
        <v>649019.79999999993</v>
      </c>
    </row>
    <row r="33" spans="1:2" x14ac:dyDescent="0.35">
      <c r="A33" s="17" t="s">
        <v>2522</v>
      </c>
    </row>
    <row r="35" spans="1:2" x14ac:dyDescent="0.35">
      <c r="A35" s="5" t="s">
        <v>2513</v>
      </c>
      <c r="B35" t="s">
        <v>2503</v>
      </c>
    </row>
    <row r="36" spans="1:2" x14ac:dyDescent="0.35">
      <c r="A36" s="4">
        <v>1</v>
      </c>
      <c r="B36" s="21">
        <v>397</v>
      </c>
    </row>
    <row r="37" spans="1:2" x14ac:dyDescent="0.35">
      <c r="A37" s="4">
        <v>2</v>
      </c>
      <c r="B37" s="21">
        <v>540</v>
      </c>
    </row>
    <row r="38" spans="1:2" x14ac:dyDescent="0.35">
      <c r="A38" s="4">
        <v>3</v>
      </c>
      <c r="B38" s="21">
        <v>375</v>
      </c>
    </row>
    <row r="39" spans="1:2" x14ac:dyDescent="0.35">
      <c r="A39" s="4">
        <v>4</v>
      </c>
      <c r="B39" s="21">
        <v>246</v>
      </c>
    </row>
    <row r="40" spans="1:2" x14ac:dyDescent="0.35">
      <c r="A40" s="4">
        <v>5</v>
      </c>
      <c r="B40" s="21">
        <v>195</v>
      </c>
    </row>
    <row r="41" spans="1:2" x14ac:dyDescent="0.35">
      <c r="A41" s="4" t="s">
        <v>2523</v>
      </c>
      <c r="B41" s="21">
        <v>414</v>
      </c>
    </row>
    <row r="42" spans="1:2" x14ac:dyDescent="0.35">
      <c r="A42" s="4" t="s">
        <v>2524</v>
      </c>
      <c r="B42" s="21">
        <v>233</v>
      </c>
    </row>
    <row r="43" spans="1:2" x14ac:dyDescent="0.35">
      <c r="A43" s="4" t="s">
        <v>2514</v>
      </c>
      <c r="B43" s="21">
        <v>2400</v>
      </c>
    </row>
    <row r="49" spans="1:10" x14ac:dyDescent="0.35">
      <c r="A49" s="17" t="s">
        <v>2525</v>
      </c>
    </row>
    <row r="52" spans="1:10" x14ac:dyDescent="0.35">
      <c r="A52" s="5" t="s">
        <v>2504</v>
      </c>
      <c r="B52" s="5" t="s">
        <v>2519</v>
      </c>
    </row>
    <row r="53" spans="1:10" x14ac:dyDescent="0.35">
      <c r="A53" s="5" t="s">
        <v>2513</v>
      </c>
      <c r="B53" t="s">
        <v>2517</v>
      </c>
      <c r="C53" t="s">
        <v>2516</v>
      </c>
      <c r="D53" t="s">
        <v>2518</v>
      </c>
      <c r="E53" t="s">
        <v>2515</v>
      </c>
      <c r="F53" t="s">
        <v>2514</v>
      </c>
      <c r="I53" s="5" t="s">
        <v>2513</v>
      </c>
      <c r="J53" t="s">
        <v>2504</v>
      </c>
    </row>
    <row r="54" spans="1:10" x14ac:dyDescent="0.35">
      <c r="A54" s="4" t="s">
        <v>44</v>
      </c>
      <c r="B54" s="21">
        <v>744</v>
      </c>
      <c r="C54" s="21">
        <v>713</v>
      </c>
      <c r="D54" s="21">
        <v>90</v>
      </c>
      <c r="E54" s="21">
        <v>98</v>
      </c>
      <c r="F54" s="21">
        <v>1645</v>
      </c>
      <c r="I54" s="4" t="s">
        <v>2517</v>
      </c>
      <c r="J54">
        <v>6272</v>
      </c>
    </row>
    <row r="55" spans="1:10" x14ac:dyDescent="0.35">
      <c r="A55" s="4" t="s">
        <v>39</v>
      </c>
      <c r="B55" s="21">
        <v>716</v>
      </c>
      <c r="C55" s="21">
        <v>598</v>
      </c>
      <c r="D55" s="21">
        <v>18</v>
      </c>
      <c r="E55" s="21">
        <v>214</v>
      </c>
      <c r="F55" s="21">
        <v>1546</v>
      </c>
      <c r="I55" s="4" t="s">
        <v>2516</v>
      </c>
      <c r="J55">
        <v>4672</v>
      </c>
    </row>
    <row r="56" spans="1:10" x14ac:dyDescent="0.35">
      <c r="A56" s="4" t="s">
        <v>26</v>
      </c>
      <c r="B56" s="21">
        <v>627</v>
      </c>
      <c r="C56" s="21">
        <v>393</v>
      </c>
      <c r="D56" s="21">
        <v>29</v>
      </c>
      <c r="E56" s="21">
        <v>137</v>
      </c>
      <c r="F56" s="21">
        <v>1186</v>
      </c>
      <c r="I56" s="4" t="s">
        <v>2518</v>
      </c>
      <c r="J56">
        <v>317</v>
      </c>
    </row>
    <row r="57" spans="1:10" x14ac:dyDescent="0.35">
      <c r="A57" s="4" t="s">
        <v>22</v>
      </c>
      <c r="B57" s="21">
        <v>568</v>
      </c>
      <c r="C57" s="21">
        <v>306</v>
      </c>
      <c r="D57" s="21">
        <v>22</v>
      </c>
      <c r="E57" s="21">
        <v>16</v>
      </c>
      <c r="F57" s="21">
        <v>912</v>
      </c>
      <c r="I57" s="4" t="s">
        <v>2515</v>
      </c>
      <c r="J57">
        <v>736</v>
      </c>
    </row>
    <row r="58" spans="1:10" x14ac:dyDescent="0.35">
      <c r="A58" s="4" t="s">
        <v>54</v>
      </c>
      <c r="B58" s="21">
        <v>482</v>
      </c>
      <c r="C58" s="21">
        <v>295</v>
      </c>
      <c r="D58" s="21">
        <v>8</v>
      </c>
      <c r="E58" s="21">
        <v>22</v>
      </c>
      <c r="F58" s="21">
        <v>807</v>
      </c>
      <c r="I58" s="4" t="s">
        <v>2514</v>
      </c>
      <c r="J58">
        <v>11997</v>
      </c>
    </row>
    <row r="59" spans="1:10" x14ac:dyDescent="0.35">
      <c r="A59" s="4" t="s">
        <v>16</v>
      </c>
      <c r="B59" s="21">
        <v>428</v>
      </c>
      <c r="C59" s="21">
        <v>293</v>
      </c>
      <c r="D59" s="21"/>
      <c r="E59" s="21">
        <v>24</v>
      </c>
      <c r="F59" s="21">
        <v>745</v>
      </c>
    </row>
    <row r="60" spans="1:10" x14ac:dyDescent="0.35">
      <c r="A60" s="4" t="s">
        <v>46</v>
      </c>
      <c r="B60" s="21">
        <v>445</v>
      </c>
      <c r="C60" s="21">
        <v>202</v>
      </c>
      <c r="D60" s="21">
        <v>14</v>
      </c>
      <c r="E60" s="21">
        <v>39</v>
      </c>
      <c r="F60" s="21">
        <v>700</v>
      </c>
    </row>
    <row r="61" spans="1:10" x14ac:dyDescent="0.35">
      <c r="A61" s="4" t="s">
        <v>32</v>
      </c>
      <c r="B61" s="21">
        <v>431</v>
      </c>
      <c r="C61" s="21">
        <v>187</v>
      </c>
      <c r="D61" s="21">
        <v>14</v>
      </c>
      <c r="E61" s="21">
        <v>15</v>
      </c>
      <c r="F61" s="21">
        <v>647</v>
      </c>
    </row>
    <row r="62" spans="1:10" x14ac:dyDescent="0.35">
      <c r="A62" s="4" t="s">
        <v>42</v>
      </c>
      <c r="B62" s="21">
        <v>264</v>
      </c>
      <c r="C62" s="21">
        <v>318</v>
      </c>
      <c r="D62" s="21">
        <v>15</v>
      </c>
      <c r="E62" s="21">
        <v>9</v>
      </c>
      <c r="F62" s="21">
        <v>606</v>
      </c>
    </row>
    <row r="63" spans="1:10" x14ac:dyDescent="0.35">
      <c r="A63" s="4" t="s">
        <v>37</v>
      </c>
      <c r="B63" s="21">
        <v>296</v>
      </c>
      <c r="C63" s="21">
        <v>275</v>
      </c>
      <c r="D63" s="21">
        <v>9</v>
      </c>
      <c r="E63" s="21">
        <v>23</v>
      </c>
      <c r="F63" s="21">
        <v>603</v>
      </c>
    </row>
    <row r="64" spans="1:10" x14ac:dyDescent="0.35">
      <c r="A64" s="4" t="s">
        <v>123</v>
      </c>
      <c r="B64" s="21">
        <v>153</v>
      </c>
      <c r="C64" s="21">
        <v>246</v>
      </c>
      <c r="D64" s="21">
        <v>30</v>
      </c>
      <c r="E64" s="21">
        <v>8</v>
      </c>
      <c r="F64" s="21">
        <v>437</v>
      </c>
    </row>
    <row r="65" spans="1:11" x14ac:dyDescent="0.35">
      <c r="A65" s="4" t="s">
        <v>146</v>
      </c>
      <c r="B65" s="21">
        <v>189</v>
      </c>
      <c r="C65" s="21">
        <v>168</v>
      </c>
      <c r="D65" s="21">
        <v>10</v>
      </c>
      <c r="E65" s="21">
        <v>31</v>
      </c>
      <c r="F65" s="21">
        <v>398</v>
      </c>
    </row>
    <row r="66" spans="1:11" x14ac:dyDescent="0.35">
      <c r="A66" s="4" t="s">
        <v>69</v>
      </c>
      <c r="B66" s="21">
        <v>234</v>
      </c>
      <c r="C66" s="21">
        <v>93</v>
      </c>
      <c r="D66" s="21">
        <v>19</v>
      </c>
      <c r="E66" s="21">
        <v>24</v>
      </c>
      <c r="F66" s="21">
        <v>370</v>
      </c>
    </row>
    <row r="67" spans="1:11" x14ac:dyDescent="0.35">
      <c r="A67" s="4" t="s">
        <v>30</v>
      </c>
      <c r="B67" s="21">
        <v>146</v>
      </c>
      <c r="C67" s="21">
        <v>94</v>
      </c>
      <c r="D67" s="21">
        <v>4</v>
      </c>
      <c r="E67" s="21">
        <v>28</v>
      </c>
      <c r="F67" s="21">
        <v>272</v>
      </c>
    </row>
    <row r="68" spans="1:11" x14ac:dyDescent="0.35">
      <c r="A68" s="4" t="s">
        <v>135</v>
      </c>
      <c r="B68" s="21">
        <v>127</v>
      </c>
      <c r="C68" s="21">
        <v>118</v>
      </c>
      <c r="D68" s="21">
        <v>13</v>
      </c>
      <c r="E68" s="21">
        <v>12</v>
      </c>
      <c r="F68" s="21">
        <v>270</v>
      </c>
    </row>
    <row r="69" spans="1:11" x14ac:dyDescent="0.35">
      <c r="A69" s="4" t="s">
        <v>67</v>
      </c>
      <c r="B69" s="21">
        <v>179</v>
      </c>
      <c r="C69" s="21">
        <v>76</v>
      </c>
      <c r="D69" s="21">
        <v>3</v>
      </c>
      <c r="E69" s="21"/>
      <c r="F69" s="21">
        <v>258</v>
      </c>
    </row>
    <row r="70" spans="1:11" x14ac:dyDescent="0.35">
      <c r="A70" s="4" t="s">
        <v>128</v>
      </c>
      <c r="B70" s="21">
        <v>99</v>
      </c>
      <c r="C70" s="21">
        <v>69</v>
      </c>
      <c r="D70" s="21">
        <v>3</v>
      </c>
      <c r="E70" s="21">
        <v>24</v>
      </c>
      <c r="F70" s="21">
        <v>195</v>
      </c>
    </row>
    <row r="71" spans="1:11" x14ac:dyDescent="0.35">
      <c r="A71" s="4" t="s">
        <v>76</v>
      </c>
      <c r="B71" s="21">
        <v>75</v>
      </c>
      <c r="C71" s="21">
        <v>103</v>
      </c>
      <c r="D71" s="21">
        <v>4</v>
      </c>
      <c r="E71" s="21">
        <v>6</v>
      </c>
      <c r="F71" s="21">
        <v>188</v>
      </c>
    </row>
    <row r="72" spans="1:11" x14ac:dyDescent="0.35">
      <c r="A72" s="4" t="s">
        <v>81</v>
      </c>
      <c r="B72" s="21">
        <v>43</v>
      </c>
      <c r="C72" s="21">
        <v>90</v>
      </c>
      <c r="D72" s="21">
        <v>8</v>
      </c>
      <c r="E72" s="21">
        <v>6</v>
      </c>
      <c r="F72" s="21">
        <v>147</v>
      </c>
    </row>
    <row r="73" spans="1:11" x14ac:dyDescent="0.35">
      <c r="A73" s="4" t="s">
        <v>171</v>
      </c>
      <c r="B73" s="21">
        <v>26</v>
      </c>
      <c r="C73" s="21">
        <v>35</v>
      </c>
      <c r="D73" s="21">
        <v>4</v>
      </c>
      <c r="E73" s="21"/>
      <c r="F73" s="21">
        <v>65</v>
      </c>
      <c r="I73" s="18"/>
    </row>
    <row r="74" spans="1:11" x14ac:dyDescent="0.35">
      <c r="A74" s="4" t="s">
        <v>2514</v>
      </c>
      <c r="B74" s="21">
        <v>6272</v>
      </c>
      <c r="C74" s="21">
        <v>4672</v>
      </c>
      <c r="D74" s="21">
        <v>317</v>
      </c>
      <c r="E74" s="21">
        <v>736</v>
      </c>
      <c r="F74" s="21">
        <v>11997</v>
      </c>
    </row>
    <row r="78" spans="1:11" x14ac:dyDescent="0.35">
      <c r="A78" s="20" t="s">
        <v>2531</v>
      </c>
      <c r="B78" s="20"/>
    </row>
    <row r="80" spans="1:11" x14ac:dyDescent="0.35">
      <c r="F80" s="19" t="s">
        <v>2526</v>
      </c>
      <c r="G80" s="19"/>
      <c r="J80" s="19"/>
      <c r="K80" s="19"/>
    </row>
    <row r="81" spans="1:12" x14ac:dyDescent="0.35">
      <c r="A81" s="5" t="s">
        <v>10</v>
      </c>
      <c r="B81" s="5" t="s">
        <v>11</v>
      </c>
      <c r="C81" t="s">
        <v>2504</v>
      </c>
      <c r="D81" t="s">
        <v>2505</v>
      </c>
      <c r="F81" t="str">
        <f>A81</f>
        <v>State</v>
      </c>
      <c r="G81" t="str">
        <f t="shared" ref="G81:H81" si="0">B81</f>
        <v>County</v>
      </c>
      <c r="H81" t="str">
        <f t="shared" si="0"/>
        <v>Sum of Quantity</v>
      </c>
      <c r="J81" t="s">
        <v>10</v>
      </c>
      <c r="K81" t="s">
        <v>11</v>
      </c>
      <c r="L81" t="s">
        <v>4</v>
      </c>
    </row>
    <row r="82" spans="1:12" x14ac:dyDescent="0.35">
      <c r="A82" t="s">
        <v>19</v>
      </c>
      <c r="B82" t="s">
        <v>115</v>
      </c>
      <c r="C82" s="21">
        <v>579</v>
      </c>
      <c r="D82" s="21">
        <v>31884.999999999996</v>
      </c>
      <c r="F82" t="str">
        <f>IF(A82="","",A82)</f>
        <v>California</v>
      </c>
      <c r="G82" t="str">
        <f>IF(B82="","",B82)</f>
        <v>Alameda County</v>
      </c>
      <c r="H82">
        <f>IF(C82="","",C82)</f>
        <v>579</v>
      </c>
      <c r="J82" t="str">
        <f>IF(A82="","",A82)</f>
        <v>California</v>
      </c>
      <c r="K82" t="str">
        <f t="shared" ref="K82:K97" si="1">IF(B82="","",B82)</f>
        <v>Alameda County</v>
      </c>
      <c r="L82">
        <f>IF(D82="","",D82)</f>
        <v>31884.999999999996</v>
      </c>
    </row>
    <row r="83" spans="1:12" x14ac:dyDescent="0.35">
      <c r="A83" t="s">
        <v>19</v>
      </c>
      <c r="B83" t="s">
        <v>20</v>
      </c>
      <c r="C83" s="21">
        <v>1</v>
      </c>
      <c r="D83" s="21">
        <v>10.9</v>
      </c>
      <c r="F83" t="str">
        <f t="shared" ref="F83:F139" si="2">IF(A83="","",A83)</f>
        <v>California</v>
      </c>
      <c r="G83" t="str">
        <f t="shared" ref="G83:G139" si="3">IF(B83="","",B83)</f>
        <v>Alpine County</v>
      </c>
      <c r="H83">
        <f t="shared" ref="H83:H139" si="4">IF(C83="","",C83)</f>
        <v>1</v>
      </c>
      <c r="J83" t="str">
        <f t="shared" ref="J83:K139" si="5">IF(A83="","",A83)</f>
        <v>California</v>
      </c>
      <c r="K83" t="str">
        <f t="shared" si="1"/>
        <v>Alpine County</v>
      </c>
      <c r="L83">
        <f t="shared" ref="L83:L139" si="6">IF(D83="","",D83)</f>
        <v>10.9</v>
      </c>
    </row>
    <row r="84" spans="1:12" x14ac:dyDescent="0.35">
      <c r="A84" t="s">
        <v>19</v>
      </c>
      <c r="B84" t="s">
        <v>641</v>
      </c>
      <c r="C84" s="21">
        <v>9</v>
      </c>
      <c r="D84" s="21">
        <v>800.3</v>
      </c>
      <c r="F84" t="str">
        <f t="shared" si="2"/>
        <v>California</v>
      </c>
      <c r="G84" t="str">
        <f t="shared" si="3"/>
        <v>Amador County</v>
      </c>
      <c r="H84">
        <f t="shared" si="4"/>
        <v>9</v>
      </c>
      <c r="J84" t="str">
        <f t="shared" si="5"/>
        <v>California</v>
      </c>
      <c r="K84" t="str">
        <f t="shared" si="1"/>
        <v>Amador County</v>
      </c>
      <c r="L84">
        <f t="shared" si="6"/>
        <v>800.3</v>
      </c>
    </row>
    <row r="85" spans="1:12" x14ac:dyDescent="0.35">
      <c r="A85" t="s">
        <v>19</v>
      </c>
      <c r="B85" t="s">
        <v>967</v>
      </c>
      <c r="C85" s="21">
        <v>35</v>
      </c>
      <c r="D85" s="21">
        <v>1062.5999999999999</v>
      </c>
      <c r="F85" t="str">
        <f t="shared" si="2"/>
        <v>California</v>
      </c>
      <c r="G85" t="str">
        <f t="shared" si="3"/>
        <v>Butte County</v>
      </c>
      <c r="H85">
        <f t="shared" si="4"/>
        <v>35</v>
      </c>
      <c r="J85" t="str">
        <f t="shared" si="5"/>
        <v>California</v>
      </c>
      <c r="K85" t="str">
        <f t="shared" si="1"/>
        <v>Butte County</v>
      </c>
      <c r="L85">
        <f t="shared" si="6"/>
        <v>1062.5999999999999</v>
      </c>
    </row>
    <row r="86" spans="1:12" x14ac:dyDescent="0.35">
      <c r="A86" t="s">
        <v>19</v>
      </c>
      <c r="B86" t="s">
        <v>84</v>
      </c>
      <c r="C86" s="21">
        <v>12</v>
      </c>
      <c r="D86" s="21">
        <v>326.20000000000005</v>
      </c>
      <c r="F86" t="str">
        <f t="shared" si="2"/>
        <v>California</v>
      </c>
      <c r="G86" t="str">
        <f t="shared" si="3"/>
        <v>Calaveras County</v>
      </c>
      <c r="H86">
        <f t="shared" si="4"/>
        <v>12</v>
      </c>
      <c r="J86" t="str">
        <f t="shared" si="5"/>
        <v>California</v>
      </c>
      <c r="K86" t="str">
        <f t="shared" si="1"/>
        <v>Calaveras County</v>
      </c>
      <c r="L86">
        <f t="shared" si="6"/>
        <v>326.20000000000005</v>
      </c>
    </row>
    <row r="87" spans="1:12" x14ac:dyDescent="0.35">
      <c r="A87" t="s">
        <v>19</v>
      </c>
      <c r="B87" t="s">
        <v>1383</v>
      </c>
      <c r="C87" s="21">
        <v>4</v>
      </c>
      <c r="D87" s="21">
        <v>167.5</v>
      </c>
      <c r="F87" t="str">
        <f t="shared" si="2"/>
        <v>California</v>
      </c>
      <c r="G87" t="str">
        <f t="shared" si="3"/>
        <v>Colusa County</v>
      </c>
      <c r="H87">
        <f t="shared" si="4"/>
        <v>4</v>
      </c>
      <c r="J87" t="str">
        <f t="shared" si="5"/>
        <v>California</v>
      </c>
      <c r="K87" t="str">
        <f t="shared" si="1"/>
        <v>Colusa County</v>
      </c>
      <c r="L87">
        <f t="shared" si="6"/>
        <v>167.5</v>
      </c>
    </row>
    <row r="88" spans="1:12" x14ac:dyDescent="0.35">
      <c r="A88" t="s">
        <v>19</v>
      </c>
      <c r="B88" t="s">
        <v>24</v>
      </c>
      <c r="C88" s="21">
        <v>341</v>
      </c>
      <c r="D88" s="21">
        <v>16168.7</v>
      </c>
      <c r="F88" t="str">
        <f t="shared" si="2"/>
        <v>California</v>
      </c>
      <c r="G88" t="str">
        <f t="shared" si="3"/>
        <v>Contra Costa County</v>
      </c>
      <c r="H88">
        <f t="shared" si="4"/>
        <v>341</v>
      </c>
      <c r="J88" t="str">
        <f t="shared" si="5"/>
        <v>California</v>
      </c>
      <c r="K88" t="str">
        <f t="shared" si="1"/>
        <v>Contra Costa County</v>
      </c>
      <c r="L88">
        <f t="shared" si="6"/>
        <v>16168.7</v>
      </c>
    </row>
    <row r="89" spans="1:12" x14ac:dyDescent="0.35">
      <c r="A89" t="s">
        <v>19</v>
      </c>
      <c r="B89" t="s">
        <v>2204</v>
      </c>
      <c r="C89" s="21">
        <v>13</v>
      </c>
      <c r="D89" s="21">
        <v>322.40000000000003</v>
      </c>
      <c r="F89" t="str">
        <f t="shared" si="2"/>
        <v>California</v>
      </c>
      <c r="G89" t="str">
        <f t="shared" si="3"/>
        <v>Del Norte County</v>
      </c>
      <c r="H89">
        <f t="shared" si="4"/>
        <v>13</v>
      </c>
      <c r="J89" t="str">
        <f t="shared" si="5"/>
        <v>California</v>
      </c>
      <c r="K89" t="str">
        <f t="shared" si="1"/>
        <v>Del Norte County</v>
      </c>
      <c r="L89">
        <f t="shared" si="6"/>
        <v>322.40000000000003</v>
      </c>
    </row>
    <row r="90" spans="1:12" x14ac:dyDescent="0.35">
      <c r="A90" t="s">
        <v>19</v>
      </c>
      <c r="B90" t="s">
        <v>437</v>
      </c>
      <c r="C90" s="21">
        <v>31</v>
      </c>
      <c r="D90" s="21">
        <v>2092.8000000000002</v>
      </c>
      <c r="F90" t="str">
        <f t="shared" si="2"/>
        <v>California</v>
      </c>
      <c r="G90" t="str">
        <f t="shared" si="3"/>
        <v>El Dorado County</v>
      </c>
      <c r="H90">
        <f t="shared" si="4"/>
        <v>31</v>
      </c>
      <c r="J90" t="str">
        <f t="shared" si="5"/>
        <v>California</v>
      </c>
      <c r="K90" t="str">
        <f t="shared" si="1"/>
        <v>El Dorado County</v>
      </c>
      <c r="L90">
        <f t="shared" si="6"/>
        <v>2092.8000000000002</v>
      </c>
    </row>
    <row r="91" spans="1:12" x14ac:dyDescent="0.35">
      <c r="A91" t="s">
        <v>19</v>
      </c>
      <c r="B91" t="s">
        <v>28</v>
      </c>
      <c r="C91" s="21">
        <v>279</v>
      </c>
      <c r="D91" s="21">
        <v>12662.500000000002</v>
      </c>
      <c r="F91" t="str">
        <f t="shared" si="2"/>
        <v>California</v>
      </c>
      <c r="G91" t="str">
        <f t="shared" si="3"/>
        <v>Fresno County</v>
      </c>
      <c r="H91">
        <f t="shared" si="4"/>
        <v>279</v>
      </c>
      <c r="J91" t="str">
        <f t="shared" si="5"/>
        <v>California</v>
      </c>
      <c r="K91" t="str">
        <f t="shared" si="1"/>
        <v>Fresno County</v>
      </c>
      <c r="L91">
        <f t="shared" si="6"/>
        <v>12662.500000000002</v>
      </c>
    </row>
    <row r="92" spans="1:12" x14ac:dyDescent="0.35">
      <c r="A92" t="s">
        <v>19</v>
      </c>
      <c r="B92" t="s">
        <v>208</v>
      </c>
      <c r="C92" s="21">
        <v>9</v>
      </c>
      <c r="D92" s="21">
        <v>343.2</v>
      </c>
      <c r="F92" t="str">
        <f t="shared" si="2"/>
        <v>California</v>
      </c>
      <c r="G92" t="str">
        <f t="shared" si="3"/>
        <v>Glenn County</v>
      </c>
      <c r="H92">
        <f t="shared" si="4"/>
        <v>9</v>
      </c>
      <c r="J92" t="str">
        <f t="shared" si="5"/>
        <v>California</v>
      </c>
      <c r="K92" t="str">
        <f t="shared" si="1"/>
        <v>Glenn County</v>
      </c>
      <c r="L92">
        <f t="shared" si="6"/>
        <v>343.2</v>
      </c>
    </row>
    <row r="93" spans="1:12" x14ac:dyDescent="0.35">
      <c r="A93" t="s">
        <v>19</v>
      </c>
      <c r="B93" t="s">
        <v>587</v>
      </c>
      <c r="C93" s="21">
        <v>49</v>
      </c>
      <c r="D93" s="21">
        <v>2188.2999999999997</v>
      </c>
      <c r="F93" t="str">
        <f t="shared" si="2"/>
        <v>California</v>
      </c>
      <c r="G93" t="str">
        <f t="shared" si="3"/>
        <v>Humboldt County</v>
      </c>
      <c r="H93">
        <f t="shared" si="4"/>
        <v>49</v>
      </c>
      <c r="J93" t="str">
        <f t="shared" si="5"/>
        <v>California</v>
      </c>
      <c r="K93" t="str">
        <f t="shared" si="1"/>
        <v>Humboldt County</v>
      </c>
      <c r="L93">
        <f t="shared" si="6"/>
        <v>2188.2999999999997</v>
      </c>
    </row>
    <row r="94" spans="1:12" x14ac:dyDescent="0.35">
      <c r="A94" t="s">
        <v>19</v>
      </c>
      <c r="B94" t="s">
        <v>331</v>
      </c>
      <c r="C94" s="21">
        <v>59</v>
      </c>
      <c r="D94" s="21">
        <v>2661.5999999999995</v>
      </c>
      <c r="F94" t="str">
        <f t="shared" si="2"/>
        <v>California</v>
      </c>
      <c r="G94" t="str">
        <f t="shared" si="3"/>
        <v>Imperial County</v>
      </c>
      <c r="H94">
        <f t="shared" si="4"/>
        <v>59</v>
      </c>
      <c r="J94" t="str">
        <f t="shared" si="5"/>
        <v>California</v>
      </c>
      <c r="K94" t="str">
        <f t="shared" si="1"/>
        <v>Imperial County</v>
      </c>
      <c r="L94">
        <f t="shared" si="6"/>
        <v>2661.5999999999995</v>
      </c>
    </row>
    <row r="95" spans="1:12" x14ac:dyDescent="0.35">
      <c r="A95" t="s">
        <v>19</v>
      </c>
      <c r="B95" t="s">
        <v>86</v>
      </c>
      <c r="C95" s="21">
        <v>8</v>
      </c>
      <c r="D95" s="21">
        <v>887.5</v>
      </c>
      <c r="F95" t="str">
        <f t="shared" si="2"/>
        <v>California</v>
      </c>
      <c r="G95" t="str">
        <f t="shared" si="3"/>
        <v>Inyo County</v>
      </c>
      <c r="H95">
        <f t="shared" si="4"/>
        <v>8</v>
      </c>
      <c r="J95" t="str">
        <f t="shared" si="5"/>
        <v>California</v>
      </c>
      <c r="K95" t="str">
        <f t="shared" si="1"/>
        <v>Inyo County</v>
      </c>
      <c r="L95">
        <f t="shared" si="6"/>
        <v>887.5</v>
      </c>
    </row>
    <row r="96" spans="1:12" x14ac:dyDescent="0.35">
      <c r="A96" t="s">
        <v>19</v>
      </c>
      <c r="B96" t="s">
        <v>147</v>
      </c>
      <c r="C96" s="21">
        <v>222</v>
      </c>
      <c r="D96" s="21">
        <v>11354.199999999993</v>
      </c>
      <c r="F96" t="str">
        <f t="shared" si="2"/>
        <v>California</v>
      </c>
      <c r="G96" t="str">
        <f t="shared" si="3"/>
        <v>Kern County</v>
      </c>
      <c r="H96">
        <f t="shared" si="4"/>
        <v>222</v>
      </c>
      <c r="J96" t="str">
        <f t="shared" si="5"/>
        <v>California</v>
      </c>
      <c r="K96" t="str">
        <f t="shared" si="1"/>
        <v>Kern County</v>
      </c>
      <c r="L96">
        <f t="shared" si="6"/>
        <v>11354.199999999993</v>
      </c>
    </row>
    <row r="97" spans="1:12" x14ac:dyDescent="0.35">
      <c r="A97" t="s">
        <v>19</v>
      </c>
      <c r="B97" t="s">
        <v>334</v>
      </c>
      <c r="C97" s="21">
        <v>36</v>
      </c>
      <c r="D97" s="21">
        <v>1558.4</v>
      </c>
      <c r="F97" t="str">
        <f t="shared" si="2"/>
        <v>California</v>
      </c>
      <c r="G97" t="str">
        <f t="shared" si="3"/>
        <v>Kings County</v>
      </c>
      <c r="H97">
        <f t="shared" si="4"/>
        <v>36</v>
      </c>
      <c r="J97" t="str">
        <f t="shared" si="5"/>
        <v>California</v>
      </c>
      <c r="K97" t="str">
        <f t="shared" si="1"/>
        <v>Kings County</v>
      </c>
      <c r="L97">
        <f t="shared" si="6"/>
        <v>1558.4</v>
      </c>
    </row>
    <row r="98" spans="1:12" x14ac:dyDescent="0.35">
      <c r="A98" t="s">
        <v>19</v>
      </c>
      <c r="B98" t="s">
        <v>949</v>
      </c>
      <c r="C98" s="21">
        <v>30</v>
      </c>
      <c r="D98" s="21">
        <v>2223.9</v>
      </c>
      <c r="F98" t="str">
        <f t="shared" si="2"/>
        <v>California</v>
      </c>
      <c r="G98" t="str">
        <f t="shared" si="3"/>
        <v>Lake County</v>
      </c>
      <c r="H98">
        <f t="shared" si="4"/>
        <v>30</v>
      </c>
      <c r="J98" t="str">
        <f t="shared" si="5"/>
        <v>California</v>
      </c>
      <c r="K98" t="str">
        <f t="shared" si="5"/>
        <v>Lake County</v>
      </c>
      <c r="L98">
        <f t="shared" si="6"/>
        <v>2223.9</v>
      </c>
    </row>
    <row r="99" spans="1:12" x14ac:dyDescent="0.35">
      <c r="A99" t="s">
        <v>19</v>
      </c>
      <c r="B99" t="s">
        <v>1426</v>
      </c>
      <c r="C99" s="21">
        <v>1</v>
      </c>
      <c r="D99" s="21">
        <v>26.2</v>
      </c>
      <c r="F99" t="str">
        <f t="shared" si="2"/>
        <v>California</v>
      </c>
      <c r="G99" t="str">
        <f t="shared" si="3"/>
        <v>Lassen County</v>
      </c>
      <c r="H99">
        <f t="shared" si="4"/>
        <v>1</v>
      </c>
      <c r="J99" t="str">
        <f t="shared" si="5"/>
        <v>California</v>
      </c>
      <c r="K99" t="str">
        <f t="shared" si="5"/>
        <v>Lassen County</v>
      </c>
      <c r="L99">
        <f t="shared" si="6"/>
        <v>26.2</v>
      </c>
    </row>
    <row r="100" spans="1:12" x14ac:dyDescent="0.35">
      <c r="A100" t="s">
        <v>19</v>
      </c>
      <c r="B100" t="s">
        <v>33</v>
      </c>
      <c r="C100" s="21">
        <v>3991</v>
      </c>
      <c r="D100" s="21">
        <v>215551.19999999981</v>
      </c>
      <c r="F100" t="str">
        <f t="shared" si="2"/>
        <v>California</v>
      </c>
      <c r="G100" t="str">
        <f t="shared" si="3"/>
        <v>Los Angeles County</v>
      </c>
      <c r="H100">
        <f t="shared" si="4"/>
        <v>3991</v>
      </c>
      <c r="J100" t="str">
        <f t="shared" si="5"/>
        <v>California</v>
      </c>
      <c r="K100" t="str">
        <f t="shared" si="5"/>
        <v>Los Angeles County</v>
      </c>
      <c r="L100">
        <f t="shared" si="6"/>
        <v>215551.19999999981</v>
      </c>
    </row>
    <row r="101" spans="1:12" x14ac:dyDescent="0.35">
      <c r="A101" t="s">
        <v>19</v>
      </c>
      <c r="B101" t="s">
        <v>364</v>
      </c>
      <c r="C101" s="21">
        <v>45</v>
      </c>
      <c r="D101" s="21">
        <v>2687.3999999999996</v>
      </c>
      <c r="F101" t="str">
        <f t="shared" si="2"/>
        <v>California</v>
      </c>
      <c r="G101" t="str">
        <f t="shared" si="3"/>
        <v>Madera County</v>
      </c>
      <c r="H101">
        <f t="shared" si="4"/>
        <v>45</v>
      </c>
      <c r="J101" t="str">
        <f t="shared" si="5"/>
        <v>California</v>
      </c>
      <c r="K101" t="str">
        <f t="shared" si="5"/>
        <v>Madera County</v>
      </c>
      <c r="L101">
        <f t="shared" si="6"/>
        <v>2687.3999999999996</v>
      </c>
    </row>
    <row r="102" spans="1:12" x14ac:dyDescent="0.35">
      <c r="A102" t="s">
        <v>19</v>
      </c>
      <c r="B102" t="s">
        <v>545</v>
      </c>
      <c r="C102" s="21">
        <v>39</v>
      </c>
      <c r="D102" s="21">
        <v>1463.3000000000002</v>
      </c>
      <c r="F102" t="str">
        <f t="shared" si="2"/>
        <v>California</v>
      </c>
      <c r="G102" t="str">
        <f t="shared" si="3"/>
        <v>Marin County</v>
      </c>
      <c r="H102">
        <f t="shared" si="4"/>
        <v>39</v>
      </c>
      <c r="J102" t="str">
        <f t="shared" si="5"/>
        <v>California</v>
      </c>
      <c r="K102" t="str">
        <f t="shared" si="5"/>
        <v>Marin County</v>
      </c>
      <c r="L102">
        <f t="shared" si="6"/>
        <v>1463.3000000000002</v>
      </c>
    </row>
    <row r="103" spans="1:12" x14ac:dyDescent="0.35">
      <c r="A103" t="s">
        <v>19</v>
      </c>
      <c r="B103" t="s">
        <v>416</v>
      </c>
      <c r="C103" s="21">
        <v>6</v>
      </c>
      <c r="D103" s="21">
        <v>445.79999999999995</v>
      </c>
      <c r="F103" t="str">
        <f t="shared" si="2"/>
        <v>California</v>
      </c>
      <c r="G103" t="str">
        <f t="shared" si="3"/>
        <v>Mariposa County</v>
      </c>
      <c r="H103">
        <f t="shared" si="4"/>
        <v>6</v>
      </c>
      <c r="J103" t="str">
        <f t="shared" si="5"/>
        <v>California</v>
      </c>
      <c r="K103" t="str">
        <f t="shared" si="5"/>
        <v>Mariposa County</v>
      </c>
      <c r="L103">
        <f t="shared" si="6"/>
        <v>445.79999999999995</v>
      </c>
    </row>
    <row r="104" spans="1:12" x14ac:dyDescent="0.35">
      <c r="A104" t="s">
        <v>19</v>
      </c>
      <c r="B104" t="s">
        <v>258</v>
      </c>
      <c r="C104" s="21">
        <v>9</v>
      </c>
      <c r="D104" s="21">
        <v>273.59999999999997</v>
      </c>
      <c r="F104" t="str">
        <f t="shared" si="2"/>
        <v>California</v>
      </c>
      <c r="G104" t="str">
        <f t="shared" si="3"/>
        <v>Mendocino County</v>
      </c>
      <c r="H104">
        <f t="shared" si="4"/>
        <v>9</v>
      </c>
      <c r="J104" t="str">
        <f t="shared" si="5"/>
        <v>California</v>
      </c>
      <c r="K104" t="str">
        <f t="shared" si="5"/>
        <v>Mendocino County</v>
      </c>
      <c r="L104">
        <f t="shared" si="6"/>
        <v>273.59999999999997</v>
      </c>
    </row>
    <row r="105" spans="1:12" x14ac:dyDescent="0.35">
      <c r="A105" t="s">
        <v>19</v>
      </c>
      <c r="B105" t="s">
        <v>186</v>
      </c>
      <c r="C105" s="21">
        <v>60</v>
      </c>
      <c r="D105" s="21">
        <v>2690.4</v>
      </c>
      <c r="F105" t="str">
        <f t="shared" si="2"/>
        <v>California</v>
      </c>
      <c r="G105" t="str">
        <f t="shared" si="3"/>
        <v>Merced County</v>
      </c>
      <c r="H105">
        <f t="shared" si="4"/>
        <v>60</v>
      </c>
      <c r="J105" t="str">
        <f t="shared" si="5"/>
        <v>California</v>
      </c>
      <c r="K105" t="str">
        <f t="shared" si="5"/>
        <v>Merced County</v>
      </c>
      <c r="L105">
        <f t="shared" si="6"/>
        <v>2690.4</v>
      </c>
    </row>
    <row r="106" spans="1:12" x14ac:dyDescent="0.35">
      <c r="A106" t="s">
        <v>19</v>
      </c>
      <c r="B106" t="s">
        <v>392</v>
      </c>
      <c r="C106" s="21">
        <v>2</v>
      </c>
      <c r="D106" s="21">
        <v>28.4</v>
      </c>
      <c r="F106" t="str">
        <f t="shared" si="2"/>
        <v>California</v>
      </c>
      <c r="G106" t="str">
        <f t="shared" si="3"/>
        <v>Modoc County</v>
      </c>
      <c r="H106">
        <f t="shared" si="4"/>
        <v>2</v>
      </c>
      <c r="J106" t="str">
        <f t="shared" si="5"/>
        <v>California</v>
      </c>
      <c r="K106" t="str">
        <f t="shared" si="5"/>
        <v>Modoc County</v>
      </c>
      <c r="L106">
        <f t="shared" si="6"/>
        <v>28.4</v>
      </c>
    </row>
    <row r="107" spans="1:12" x14ac:dyDescent="0.35">
      <c r="A107" t="s">
        <v>19</v>
      </c>
      <c r="B107" t="s">
        <v>670</v>
      </c>
      <c r="C107" s="21">
        <v>4</v>
      </c>
      <c r="D107" s="21">
        <v>204.8</v>
      </c>
      <c r="F107" t="str">
        <f t="shared" si="2"/>
        <v>California</v>
      </c>
      <c r="G107" t="str">
        <f t="shared" si="3"/>
        <v>Mono County</v>
      </c>
      <c r="H107">
        <f t="shared" si="4"/>
        <v>4</v>
      </c>
      <c r="J107" t="str">
        <f t="shared" si="5"/>
        <v>California</v>
      </c>
      <c r="K107" t="str">
        <f t="shared" si="5"/>
        <v>Mono County</v>
      </c>
      <c r="L107">
        <f t="shared" si="6"/>
        <v>204.8</v>
      </c>
    </row>
    <row r="108" spans="1:12" x14ac:dyDescent="0.35">
      <c r="A108" t="s">
        <v>19</v>
      </c>
      <c r="B108" t="s">
        <v>802</v>
      </c>
      <c r="C108" s="21">
        <v>31</v>
      </c>
      <c r="D108" s="21">
        <v>1607.8999999999999</v>
      </c>
      <c r="F108" t="str">
        <f t="shared" si="2"/>
        <v>California</v>
      </c>
      <c r="G108" t="str">
        <f t="shared" si="3"/>
        <v>Monterey County</v>
      </c>
      <c r="H108">
        <f t="shared" si="4"/>
        <v>31</v>
      </c>
      <c r="J108" t="str">
        <f t="shared" si="5"/>
        <v>California</v>
      </c>
      <c r="K108" t="str">
        <f t="shared" si="5"/>
        <v>Monterey County</v>
      </c>
      <c r="L108">
        <f t="shared" si="6"/>
        <v>1607.8999999999999</v>
      </c>
    </row>
    <row r="109" spans="1:12" x14ac:dyDescent="0.35">
      <c r="A109" t="s">
        <v>19</v>
      </c>
      <c r="B109" t="s">
        <v>98</v>
      </c>
      <c r="C109" s="21">
        <v>88</v>
      </c>
      <c r="D109" s="21">
        <v>6444.9</v>
      </c>
      <c r="F109" t="str">
        <f t="shared" si="2"/>
        <v>California</v>
      </c>
      <c r="G109" t="str">
        <f t="shared" si="3"/>
        <v>Napa County</v>
      </c>
      <c r="H109">
        <f t="shared" si="4"/>
        <v>88</v>
      </c>
      <c r="J109" t="str">
        <f t="shared" si="5"/>
        <v>California</v>
      </c>
      <c r="K109" t="str">
        <f t="shared" si="5"/>
        <v>Napa County</v>
      </c>
      <c r="L109">
        <f t="shared" si="6"/>
        <v>6444.9</v>
      </c>
    </row>
    <row r="110" spans="1:12" x14ac:dyDescent="0.35">
      <c r="A110" t="s">
        <v>19</v>
      </c>
      <c r="B110" t="s">
        <v>49</v>
      </c>
      <c r="C110" s="21">
        <v>25</v>
      </c>
      <c r="D110" s="21">
        <v>1809.3</v>
      </c>
      <c r="F110" t="str">
        <f t="shared" si="2"/>
        <v>California</v>
      </c>
      <c r="G110" t="str">
        <f t="shared" si="3"/>
        <v>Nevada County</v>
      </c>
      <c r="H110">
        <f t="shared" si="4"/>
        <v>25</v>
      </c>
      <c r="J110" t="str">
        <f t="shared" si="5"/>
        <v>California</v>
      </c>
      <c r="K110" t="str">
        <f t="shared" si="5"/>
        <v>Nevada County</v>
      </c>
      <c r="L110">
        <f t="shared" si="6"/>
        <v>1809.3</v>
      </c>
    </row>
    <row r="111" spans="1:12" x14ac:dyDescent="0.35">
      <c r="A111" t="s">
        <v>19</v>
      </c>
      <c r="B111" t="s">
        <v>188</v>
      </c>
      <c r="C111" s="21">
        <v>178</v>
      </c>
      <c r="D111" s="21">
        <v>9680.399999999996</v>
      </c>
      <c r="F111" t="str">
        <f t="shared" si="2"/>
        <v>California</v>
      </c>
      <c r="G111" t="str">
        <f t="shared" si="3"/>
        <v>Orange County</v>
      </c>
      <c r="H111">
        <f t="shared" si="4"/>
        <v>178</v>
      </c>
      <c r="J111" t="str">
        <f t="shared" si="5"/>
        <v>California</v>
      </c>
      <c r="K111" t="str">
        <f t="shared" si="5"/>
        <v>Orange County</v>
      </c>
      <c r="L111">
        <f t="shared" si="6"/>
        <v>9680.399999999996</v>
      </c>
    </row>
    <row r="112" spans="1:12" x14ac:dyDescent="0.35">
      <c r="A112" t="s">
        <v>19</v>
      </c>
      <c r="B112" t="s">
        <v>52</v>
      </c>
      <c r="C112" s="21">
        <v>141</v>
      </c>
      <c r="D112" s="21">
        <v>9414.7999999999993</v>
      </c>
      <c r="F112" t="str">
        <f t="shared" si="2"/>
        <v>California</v>
      </c>
      <c r="G112" t="str">
        <f t="shared" si="3"/>
        <v>Placer County</v>
      </c>
      <c r="H112">
        <f t="shared" si="4"/>
        <v>141</v>
      </c>
      <c r="J112" t="str">
        <f t="shared" si="5"/>
        <v>California</v>
      </c>
      <c r="K112" t="str">
        <f t="shared" si="5"/>
        <v>Placer County</v>
      </c>
      <c r="L112">
        <f t="shared" si="6"/>
        <v>9414.7999999999993</v>
      </c>
    </row>
    <row r="113" spans="1:12" x14ac:dyDescent="0.35">
      <c r="A113" t="s">
        <v>19</v>
      </c>
      <c r="B113" t="s">
        <v>338</v>
      </c>
      <c r="C113" s="21">
        <v>6</v>
      </c>
      <c r="D113" s="21">
        <v>206.1</v>
      </c>
      <c r="F113" t="str">
        <f t="shared" si="2"/>
        <v>California</v>
      </c>
      <c r="G113" t="str">
        <f t="shared" si="3"/>
        <v>Plumas County</v>
      </c>
      <c r="H113">
        <f t="shared" si="4"/>
        <v>6</v>
      </c>
      <c r="J113" t="str">
        <f t="shared" si="5"/>
        <v>California</v>
      </c>
      <c r="K113" t="str">
        <f t="shared" si="5"/>
        <v>Plumas County</v>
      </c>
      <c r="L113">
        <f t="shared" si="6"/>
        <v>206.1</v>
      </c>
    </row>
    <row r="114" spans="1:12" x14ac:dyDescent="0.35">
      <c r="A114" t="s">
        <v>19</v>
      </c>
      <c r="B114" t="s">
        <v>158</v>
      </c>
      <c r="C114" s="21">
        <v>178</v>
      </c>
      <c r="D114" s="21">
        <v>7691.3</v>
      </c>
      <c r="F114" t="str">
        <f t="shared" si="2"/>
        <v>California</v>
      </c>
      <c r="G114" t="str">
        <f t="shared" si="3"/>
        <v>Riverside County</v>
      </c>
      <c r="H114">
        <f t="shared" si="4"/>
        <v>178</v>
      </c>
      <c r="J114" t="str">
        <f t="shared" si="5"/>
        <v>California</v>
      </c>
      <c r="K114" t="str">
        <f t="shared" si="5"/>
        <v>Riverside County</v>
      </c>
      <c r="L114">
        <f t="shared" si="6"/>
        <v>7691.3</v>
      </c>
    </row>
    <row r="115" spans="1:12" x14ac:dyDescent="0.35">
      <c r="A115" t="s">
        <v>19</v>
      </c>
      <c r="B115" t="s">
        <v>55</v>
      </c>
      <c r="C115" s="21">
        <v>699</v>
      </c>
      <c r="D115" s="21">
        <v>37784.900000000016</v>
      </c>
      <c r="F115" t="str">
        <f t="shared" si="2"/>
        <v>California</v>
      </c>
      <c r="G115" t="str">
        <f t="shared" si="3"/>
        <v>Sacramento County</v>
      </c>
      <c r="H115">
        <f t="shared" si="4"/>
        <v>699</v>
      </c>
      <c r="J115" t="str">
        <f t="shared" si="5"/>
        <v>California</v>
      </c>
      <c r="K115" t="str">
        <f t="shared" si="5"/>
        <v>Sacramento County</v>
      </c>
      <c r="L115">
        <f t="shared" si="6"/>
        <v>37784.900000000016</v>
      </c>
    </row>
    <row r="116" spans="1:12" x14ac:dyDescent="0.35">
      <c r="A116" t="s">
        <v>19</v>
      </c>
      <c r="B116" t="s">
        <v>342</v>
      </c>
      <c r="C116" s="21">
        <v>23</v>
      </c>
      <c r="D116" s="21">
        <v>1129.7</v>
      </c>
      <c r="F116" t="str">
        <f t="shared" si="2"/>
        <v>California</v>
      </c>
      <c r="G116" t="str">
        <f t="shared" si="3"/>
        <v>San Benito County</v>
      </c>
      <c r="H116">
        <f t="shared" si="4"/>
        <v>23</v>
      </c>
      <c r="J116" t="str">
        <f t="shared" si="5"/>
        <v>California</v>
      </c>
      <c r="K116" t="str">
        <f t="shared" si="5"/>
        <v>San Benito County</v>
      </c>
      <c r="L116">
        <f t="shared" si="6"/>
        <v>1129.7</v>
      </c>
    </row>
    <row r="117" spans="1:12" x14ac:dyDescent="0.35">
      <c r="A117" t="s">
        <v>19</v>
      </c>
      <c r="B117" t="s">
        <v>59</v>
      </c>
      <c r="C117" s="21">
        <v>356</v>
      </c>
      <c r="D117" s="21">
        <v>20988.9</v>
      </c>
      <c r="F117" t="str">
        <f t="shared" si="2"/>
        <v>California</v>
      </c>
      <c r="G117" t="str">
        <f t="shared" si="3"/>
        <v>San Bernardino County</v>
      </c>
      <c r="H117">
        <f t="shared" si="4"/>
        <v>356</v>
      </c>
      <c r="J117" t="str">
        <f t="shared" si="5"/>
        <v>California</v>
      </c>
      <c r="K117" t="str">
        <f t="shared" si="5"/>
        <v>San Bernardino County</v>
      </c>
      <c r="L117">
        <f t="shared" si="6"/>
        <v>20988.9</v>
      </c>
    </row>
    <row r="118" spans="1:12" x14ac:dyDescent="0.35">
      <c r="A118" t="s">
        <v>19</v>
      </c>
      <c r="B118" t="s">
        <v>62</v>
      </c>
      <c r="C118" s="21">
        <v>1768</v>
      </c>
      <c r="D118" s="21">
        <v>98367.099999999977</v>
      </c>
      <c r="F118" t="str">
        <f t="shared" si="2"/>
        <v>California</v>
      </c>
      <c r="G118" t="str">
        <f t="shared" si="3"/>
        <v>San Diego County</v>
      </c>
      <c r="H118">
        <f t="shared" si="4"/>
        <v>1768</v>
      </c>
      <c r="J118" t="str">
        <f t="shared" si="5"/>
        <v>California</v>
      </c>
      <c r="K118" t="str">
        <f t="shared" si="5"/>
        <v>San Diego County</v>
      </c>
      <c r="L118">
        <f t="shared" si="6"/>
        <v>98367.099999999977</v>
      </c>
    </row>
    <row r="119" spans="1:12" x14ac:dyDescent="0.35">
      <c r="A119" t="s">
        <v>19</v>
      </c>
      <c r="B119" t="s">
        <v>103</v>
      </c>
      <c r="C119" s="21">
        <v>307</v>
      </c>
      <c r="D119" s="21">
        <v>21911.9</v>
      </c>
      <c r="F119" t="str">
        <f t="shared" si="2"/>
        <v>California</v>
      </c>
      <c r="G119" t="str">
        <f t="shared" si="3"/>
        <v>San Francisco</v>
      </c>
      <c r="H119">
        <f t="shared" si="4"/>
        <v>307</v>
      </c>
      <c r="J119" t="str">
        <f t="shared" si="5"/>
        <v>California</v>
      </c>
      <c r="K119" t="str">
        <f t="shared" si="5"/>
        <v>San Francisco</v>
      </c>
      <c r="L119">
        <f t="shared" si="6"/>
        <v>21911.9</v>
      </c>
    </row>
    <row r="120" spans="1:12" x14ac:dyDescent="0.35">
      <c r="A120" t="s">
        <v>19</v>
      </c>
      <c r="B120" t="s">
        <v>201</v>
      </c>
      <c r="C120" s="21">
        <v>117</v>
      </c>
      <c r="D120" s="21">
        <v>5441.2</v>
      </c>
      <c r="F120" t="str">
        <f t="shared" si="2"/>
        <v>California</v>
      </c>
      <c r="G120" t="str">
        <f t="shared" si="3"/>
        <v>San Joaquin County</v>
      </c>
      <c r="H120">
        <f t="shared" si="4"/>
        <v>117</v>
      </c>
      <c r="J120" t="str">
        <f t="shared" si="5"/>
        <v>California</v>
      </c>
      <c r="K120" t="str">
        <f t="shared" si="5"/>
        <v>San Joaquin County</v>
      </c>
      <c r="L120">
        <f t="shared" si="6"/>
        <v>5441.2</v>
      </c>
    </row>
    <row r="121" spans="1:12" x14ac:dyDescent="0.35">
      <c r="A121" t="s">
        <v>19</v>
      </c>
      <c r="B121" t="s">
        <v>429</v>
      </c>
      <c r="C121" s="21">
        <v>13</v>
      </c>
      <c r="D121" s="21">
        <v>392.8</v>
      </c>
      <c r="F121" t="str">
        <f t="shared" si="2"/>
        <v>California</v>
      </c>
      <c r="G121" t="str">
        <f t="shared" si="3"/>
        <v>San Luis Obispo County</v>
      </c>
      <c r="H121">
        <f t="shared" si="4"/>
        <v>13</v>
      </c>
      <c r="J121" t="str">
        <f t="shared" si="5"/>
        <v>California</v>
      </c>
      <c r="K121" t="str">
        <f t="shared" si="5"/>
        <v>San Luis Obispo County</v>
      </c>
      <c r="L121">
        <f t="shared" si="6"/>
        <v>392.8</v>
      </c>
    </row>
    <row r="122" spans="1:12" x14ac:dyDescent="0.35">
      <c r="A122" t="s">
        <v>19</v>
      </c>
      <c r="B122" t="s">
        <v>72</v>
      </c>
      <c r="C122" s="21">
        <v>364</v>
      </c>
      <c r="D122" s="21">
        <v>16172.000000000005</v>
      </c>
      <c r="F122" t="str">
        <f t="shared" si="2"/>
        <v>California</v>
      </c>
      <c r="G122" t="str">
        <f t="shared" si="3"/>
        <v>San Mateo County</v>
      </c>
      <c r="H122">
        <f t="shared" si="4"/>
        <v>364</v>
      </c>
      <c r="J122" t="str">
        <f t="shared" si="5"/>
        <v>California</v>
      </c>
      <c r="K122" t="str">
        <f t="shared" si="5"/>
        <v>San Mateo County</v>
      </c>
      <c r="L122">
        <f t="shared" si="6"/>
        <v>16172.000000000005</v>
      </c>
    </row>
    <row r="123" spans="1:12" x14ac:dyDescent="0.35">
      <c r="A123" t="s">
        <v>19</v>
      </c>
      <c r="B123" t="s">
        <v>74</v>
      </c>
      <c r="C123" s="21">
        <v>95</v>
      </c>
      <c r="D123" s="21">
        <v>4334.9999999999991</v>
      </c>
      <c r="F123" t="str">
        <f t="shared" si="2"/>
        <v>California</v>
      </c>
      <c r="G123" t="str">
        <f t="shared" si="3"/>
        <v>Santa Barbara County</v>
      </c>
      <c r="H123">
        <f t="shared" si="4"/>
        <v>95</v>
      </c>
      <c r="J123" t="str">
        <f t="shared" si="5"/>
        <v>California</v>
      </c>
      <c r="K123" t="str">
        <f t="shared" si="5"/>
        <v>Santa Barbara County</v>
      </c>
      <c r="L123">
        <f t="shared" si="6"/>
        <v>4334.9999999999991</v>
      </c>
    </row>
    <row r="124" spans="1:12" x14ac:dyDescent="0.35">
      <c r="A124" t="s">
        <v>19</v>
      </c>
      <c r="B124" t="s">
        <v>77</v>
      </c>
      <c r="C124" s="21">
        <v>737</v>
      </c>
      <c r="D124" s="21">
        <v>37449.000000000007</v>
      </c>
      <c r="F124" t="str">
        <f t="shared" si="2"/>
        <v>California</v>
      </c>
      <c r="G124" t="str">
        <f t="shared" si="3"/>
        <v>Santa Clara County</v>
      </c>
      <c r="H124">
        <f t="shared" si="4"/>
        <v>737</v>
      </c>
      <c r="J124" t="str">
        <f t="shared" si="5"/>
        <v>California</v>
      </c>
      <c r="K124" t="str">
        <f t="shared" si="5"/>
        <v>Santa Clara County</v>
      </c>
      <c r="L124">
        <f t="shared" si="6"/>
        <v>37449.000000000007</v>
      </c>
    </row>
    <row r="125" spans="1:12" x14ac:dyDescent="0.35">
      <c r="A125" t="s">
        <v>19</v>
      </c>
      <c r="B125" t="s">
        <v>309</v>
      </c>
      <c r="C125" s="21">
        <v>39</v>
      </c>
      <c r="D125" s="21">
        <v>2447.5</v>
      </c>
      <c r="F125" t="str">
        <f t="shared" si="2"/>
        <v>California</v>
      </c>
      <c r="G125" t="str">
        <f t="shared" si="3"/>
        <v>Santa Cruz County</v>
      </c>
      <c r="H125">
        <f t="shared" si="4"/>
        <v>39</v>
      </c>
      <c r="J125" t="str">
        <f t="shared" si="5"/>
        <v>California</v>
      </c>
      <c r="K125" t="str">
        <f t="shared" si="5"/>
        <v>Santa Cruz County</v>
      </c>
      <c r="L125">
        <f t="shared" si="6"/>
        <v>2447.5</v>
      </c>
    </row>
    <row r="126" spans="1:12" x14ac:dyDescent="0.35">
      <c r="A126" t="s">
        <v>19</v>
      </c>
      <c r="B126" t="s">
        <v>1116</v>
      </c>
      <c r="C126" s="21">
        <v>56</v>
      </c>
      <c r="D126" s="21">
        <v>3391.1</v>
      </c>
      <c r="F126" t="str">
        <f t="shared" si="2"/>
        <v>California</v>
      </c>
      <c r="G126" t="str">
        <f t="shared" si="3"/>
        <v>Shasta County</v>
      </c>
      <c r="H126">
        <f t="shared" si="4"/>
        <v>56</v>
      </c>
      <c r="J126" t="str">
        <f t="shared" si="5"/>
        <v>California</v>
      </c>
      <c r="K126" t="str">
        <f t="shared" si="5"/>
        <v>Shasta County</v>
      </c>
      <c r="L126">
        <f t="shared" si="6"/>
        <v>3391.1</v>
      </c>
    </row>
    <row r="127" spans="1:12" x14ac:dyDescent="0.35">
      <c r="A127" t="s">
        <v>19</v>
      </c>
      <c r="B127" t="s">
        <v>700</v>
      </c>
      <c r="C127" s="21">
        <v>2</v>
      </c>
      <c r="D127" s="21">
        <v>30.8</v>
      </c>
      <c r="F127" t="str">
        <f t="shared" si="2"/>
        <v>California</v>
      </c>
      <c r="G127" t="str">
        <f t="shared" si="3"/>
        <v>Sierra County</v>
      </c>
      <c r="H127">
        <f t="shared" si="4"/>
        <v>2</v>
      </c>
      <c r="J127" t="str">
        <f t="shared" si="5"/>
        <v>California</v>
      </c>
      <c r="K127" t="str">
        <f t="shared" si="5"/>
        <v>Sierra County</v>
      </c>
      <c r="L127">
        <f t="shared" si="6"/>
        <v>30.8</v>
      </c>
    </row>
    <row r="128" spans="1:12" x14ac:dyDescent="0.35">
      <c r="A128" t="s">
        <v>19</v>
      </c>
      <c r="B128" t="s">
        <v>268</v>
      </c>
      <c r="C128" s="21">
        <v>8</v>
      </c>
      <c r="D128" s="21">
        <v>332.3</v>
      </c>
      <c r="F128" t="str">
        <f t="shared" si="2"/>
        <v>California</v>
      </c>
      <c r="G128" t="str">
        <f t="shared" si="3"/>
        <v>Siskiyou County</v>
      </c>
      <c r="H128">
        <f t="shared" si="4"/>
        <v>8</v>
      </c>
      <c r="J128" t="str">
        <f t="shared" si="5"/>
        <v>California</v>
      </c>
      <c r="K128" t="str">
        <f t="shared" si="5"/>
        <v>Siskiyou County</v>
      </c>
      <c r="L128">
        <f t="shared" si="6"/>
        <v>332.3</v>
      </c>
    </row>
    <row r="129" spans="1:12" x14ac:dyDescent="0.35">
      <c r="A129" t="s">
        <v>19</v>
      </c>
      <c r="B129" t="s">
        <v>377</v>
      </c>
      <c r="C129" s="21">
        <v>52</v>
      </c>
      <c r="D129" s="21">
        <v>3175.9999999999995</v>
      </c>
      <c r="F129" t="str">
        <f t="shared" si="2"/>
        <v>California</v>
      </c>
      <c r="G129" t="str">
        <f t="shared" si="3"/>
        <v>Solano County</v>
      </c>
      <c r="H129">
        <f t="shared" si="4"/>
        <v>52</v>
      </c>
      <c r="J129" t="str">
        <f t="shared" si="5"/>
        <v>California</v>
      </c>
      <c r="K129" t="str">
        <f t="shared" si="5"/>
        <v>Solano County</v>
      </c>
      <c r="L129">
        <f t="shared" si="6"/>
        <v>3175.9999999999995</v>
      </c>
    </row>
    <row r="130" spans="1:12" x14ac:dyDescent="0.35">
      <c r="A130" t="s">
        <v>19</v>
      </c>
      <c r="B130" t="s">
        <v>108</v>
      </c>
      <c r="C130" s="21">
        <v>295</v>
      </c>
      <c r="D130" s="21">
        <v>20939.600000000002</v>
      </c>
      <c r="F130" t="str">
        <f t="shared" si="2"/>
        <v>California</v>
      </c>
      <c r="G130" t="str">
        <f t="shared" si="3"/>
        <v>Sonoma County</v>
      </c>
      <c r="H130">
        <f t="shared" si="4"/>
        <v>295</v>
      </c>
      <c r="J130" t="str">
        <f t="shared" si="5"/>
        <v>California</v>
      </c>
      <c r="K130" t="str">
        <f t="shared" si="5"/>
        <v>Sonoma County</v>
      </c>
      <c r="L130">
        <f t="shared" si="6"/>
        <v>20939.600000000002</v>
      </c>
    </row>
    <row r="131" spans="1:12" x14ac:dyDescent="0.35">
      <c r="A131" t="s">
        <v>19</v>
      </c>
      <c r="B131" t="s">
        <v>110</v>
      </c>
      <c r="C131" s="21">
        <v>195</v>
      </c>
      <c r="D131" s="21">
        <v>10185.899999999996</v>
      </c>
      <c r="F131" t="str">
        <f t="shared" si="2"/>
        <v>California</v>
      </c>
      <c r="G131" t="str">
        <f t="shared" si="3"/>
        <v>Stanislaus County</v>
      </c>
      <c r="H131">
        <f t="shared" si="4"/>
        <v>195</v>
      </c>
      <c r="J131" t="str">
        <f t="shared" si="5"/>
        <v>California</v>
      </c>
      <c r="K131" t="str">
        <f t="shared" si="5"/>
        <v>Stanislaus County</v>
      </c>
      <c r="L131">
        <f t="shared" si="6"/>
        <v>10185.899999999996</v>
      </c>
    </row>
    <row r="132" spans="1:12" x14ac:dyDescent="0.35">
      <c r="A132" t="s">
        <v>19</v>
      </c>
      <c r="B132" t="s">
        <v>292</v>
      </c>
      <c r="C132" s="21">
        <v>20</v>
      </c>
      <c r="D132" s="21">
        <v>958.7</v>
      </c>
      <c r="F132" t="str">
        <f t="shared" si="2"/>
        <v>California</v>
      </c>
      <c r="G132" t="str">
        <f t="shared" si="3"/>
        <v>Sutter County</v>
      </c>
      <c r="H132">
        <f t="shared" si="4"/>
        <v>20</v>
      </c>
      <c r="J132" t="str">
        <f t="shared" si="5"/>
        <v>California</v>
      </c>
      <c r="K132" t="str">
        <f t="shared" si="5"/>
        <v>Sutter County</v>
      </c>
      <c r="L132">
        <f t="shared" si="6"/>
        <v>958.7</v>
      </c>
    </row>
    <row r="133" spans="1:12" x14ac:dyDescent="0.35">
      <c r="A133" t="s">
        <v>19</v>
      </c>
      <c r="B133" t="s">
        <v>79</v>
      </c>
      <c r="C133" s="21">
        <v>6</v>
      </c>
      <c r="D133" s="21">
        <v>323</v>
      </c>
      <c r="F133" t="str">
        <f t="shared" si="2"/>
        <v>California</v>
      </c>
      <c r="G133" t="str">
        <f t="shared" si="3"/>
        <v>Tehama County</v>
      </c>
      <c r="H133">
        <f t="shared" si="4"/>
        <v>6</v>
      </c>
      <c r="J133" t="str">
        <f t="shared" si="5"/>
        <v>California</v>
      </c>
      <c r="K133" t="str">
        <f t="shared" si="5"/>
        <v>Tehama County</v>
      </c>
      <c r="L133">
        <f t="shared" si="6"/>
        <v>323</v>
      </c>
    </row>
    <row r="134" spans="1:12" x14ac:dyDescent="0.35">
      <c r="A134" t="s">
        <v>19</v>
      </c>
      <c r="B134" t="s">
        <v>608</v>
      </c>
      <c r="C134" s="21">
        <v>5</v>
      </c>
      <c r="D134" s="21">
        <v>167.70000000000002</v>
      </c>
      <c r="F134" t="str">
        <f t="shared" si="2"/>
        <v>California</v>
      </c>
      <c r="G134" t="str">
        <f t="shared" si="3"/>
        <v>Trinity County</v>
      </c>
      <c r="H134">
        <f t="shared" si="4"/>
        <v>5</v>
      </c>
      <c r="J134" t="str">
        <f t="shared" si="5"/>
        <v>California</v>
      </c>
      <c r="K134" t="str">
        <f t="shared" si="5"/>
        <v>Trinity County</v>
      </c>
      <c r="L134">
        <f t="shared" si="6"/>
        <v>167.70000000000002</v>
      </c>
    </row>
    <row r="135" spans="1:12" x14ac:dyDescent="0.35">
      <c r="A135" t="s">
        <v>19</v>
      </c>
      <c r="B135" t="s">
        <v>113</v>
      </c>
      <c r="C135" s="21">
        <v>94</v>
      </c>
      <c r="D135" s="21">
        <v>3978.5</v>
      </c>
      <c r="F135" t="str">
        <f t="shared" si="2"/>
        <v>California</v>
      </c>
      <c r="G135" t="str">
        <f t="shared" si="3"/>
        <v>Tulare County</v>
      </c>
      <c r="H135">
        <f t="shared" si="4"/>
        <v>94</v>
      </c>
      <c r="J135" t="str">
        <f t="shared" si="5"/>
        <v>California</v>
      </c>
      <c r="K135" t="str">
        <f t="shared" si="5"/>
        <v>Tulare County</v>
      </c>
      <c r="L135">
        <f t="shared" si="6"/>
        <v>3978.5</v>
      </c>
    </row>
    <row r="136" spans="1:12" x14ac:dyDescent="0.35">
      <c r="A136" t="s">
        <v>19</v>
      </c>
      <c r="B136" t="s">
        <v>997</v>
      </c>
      <c r="C136" s="21">
        <v>28</v>
      </c>
      <c r="D136" s="21">
        <v>1405</v>
      </c>
      <c r="F136" t="str">
        <f t="shared" si="2"/>
        <v>California</v>
      </c>
      <c r="G136" t="str">
        <f t="shared" si="3"/>
        <v>Tuolumne County</v>
      </c>
      <c r="H136">
        <f t="shared" si="4"/>
        <v>28</v>
      </c>
      <c r="J136" t="str">
        <f t="shared" si="5"/>
        <v>California</v>
      </c>
      <c r="K136" t="str">
        <f t="shared" si="5"/>
        <v>Tuolumne County</v>
      </c>
      <c r="L136">
        <f t="shared" si="6"/>
        <v>1405</v>
      </c>
    </row>
    <row r="137" spans="1:12" x14ac:dyDescent="0.35">
      <c r="A137" t="s">
        <v>19</v>
      </c>
      <c r="B137" t="s">
        <v>82</v>
      </c>
      <c r="C137" s="21">
        <v>179</v>
      </c>
      <c r="D137" s="21">
        <v>9869.0999999999985</v>
      </c>
      <c r="F137" t="str">
        <f t="shared" si="2"/>
        <v>California</v>
      </c>
      <c r="G137" t="str">
        <f t="shared" si="3"/>
        <v>Ventura County</v>
      </c>
      <c r="H137">
        <f t="shared" si="4"/>
        <v>179</v>
      </c>
      <c r="J137" t="str">
        <f t="shared" si="5"/>
        <v>California</v>
      </c>
      <c r="K137" t="str">
        <f t="shared" si="5"/>
        <v>Ventura County</v>
      </c>
      <c r="L137">
        <f t="shared" si="6"/>
        <v>9869.0999999999985</v>
      </c>
    </row>
    <row r="138" spans="1:12" x14ac:dyDescent="0.35">
      <c r="A138" t="s">
        <v>19</v>
      </c>
      <c r="B138" t="s">
        <v>243</v>
      </c>
      <c r="C138" s="21">
        <v>15</v>
      </c>
      <c r="D138" s="21">
        <v>615.29999999999995</v>
      </c>
      <c r="F138" t="str">
        <f t="shared" si="2"/>
        <v>California</v>
      </c>
      <c r="G138" t="str">
        <f t="shared" si="3"/>
        <v>Yolo County</v>
      </c>
      <c r="H138">
        <f t="shared" si="4"/>
        <v>15</v>
      </c>
      <c r="J138" t="str">
        <f t="shared" si="5"/>
        <v>California</v>
      </c>
      <c r="K138" t="str">
        <f t="shared" si="5"/>
        <v>Yolo County</v>
      </c>
      <c r="L138">
        <f t="shared" si="6"/>
        <v>615.29999999999995</v>
      </c>
    </row>
    <row r="139" spans="1:12" x14ac:dyDescent="0.35">
      <c r="A139" t="s">
        <v>19</v>
      </c>
      <c r="B139" t="s">
        <v>1911</v>
      </c>
      <c r="C139" s="21">
        <v>3</v>
      </c>
      <c r="D139" s="21">
        <v>285</v>
      </c>
      <c r="F139" t="str">
        <f t="shared" si="2"/>
        <v>California</v>
      </c>
      <c r="G139" t="str">
        <f t="shared" si="3"/>
        <v>Yuba County</v>
      </c>
      <c r="H139">
        <f t="shared" si="4"/>
        <v>3</v>
      </c>
      <c r="J139" t="str">
        <f t="shared" si="5"/>
        <v>California</v>
      </c>
      <c r="K139" t="str">
        <f t="shared" si="5"/>
        <v>Yuba County</v>
      </c>
      <c r="L139">
        <f t="shared" si="6"/>
        <v>285</v>
      </c>
    </row>
    <row r="144" spans="1:12" x14ac:dyDescent="0.35">
      <c r="A144" s="20" t="s">
        <v>2532</v>
      </c>
      <c r="B144" s="20"/>
      <c r="C144" s="20"/>
    </row>
    <row r="146" spans="1:2" x14ac:dyDescent="0.35">
      <c r="A146" s="5" t="s">
        <v>12</v>
      </c>
      <c r="B146" t="s">
        <v>2503</v>
      </c>
    </row>
    <row r="147" spans="1:2" x14ac:dyDescent="0.35">
      <c r="A147">
        <v>0</v>
      </c>
      <c r="B147" s="21">
        <v>175</v>
      </c>
    </row>
    <row r="148" spans="1:2" x14ac:dyDescent="0.35">
      <c r="A148">
        <v>1</v>
      </c>
      <c r="B148" s="21">
        <v>888</v>
      </c>
    </row>
    <row r="149" spans="1:2" x14ac:dyDescent="0.35">
      <c r="A149">
        <v>2</v>
      </c>
      <c r="B149" s="21">
        <v>538</v>
      </c>
    </row>
    <row r="150" spans="1:2" x14ac:dyDescent="0.35">
      <c r="A150">
        <v>3</v>
      </c>
      <c r="B150" s="21">
        <v>344</v>
      </c>
    </row>
    <row r="151" spans="1:2" x14ac:dyDescent="0.35">
      <c r="A151">
        <v>4</v>
      </c>
      <c r="B151" s="21">
        <v>200</v>
      </c>
    </row>
    <row r="152" spans="1:2" x14ac:dyDescent="0.35">
      <c r="A152">
        <v>5</v>
      </c>
      <c r="B152" s="21">
        <v>94</v>
      </c>
    </row>
    <row r="153" spans="1:2" x14ac:dyDescent="0.35">
      <c r="A153">
        <v>6</v>
      </c>
      <c r="B153" s="21">
        <v>51</v>
      </c>
    </row>
    <row r="154" spans="1:2" x14ac:dyDescent="0.35">
      <c r="A154">
        <v>7</v>
      </c>
      <c r="B154" s="21">
        <v>32</v>
      </c>
    </row>
    <row r="155" spans="1:2" x14ac:dyDescent="0.35">
      <c r="A155">
        <v>8</v>
      </c>
      <c r="B155" s="21">
        <v>23</v>
      </c>
    </row>
    <row r="156" spans="1:2" x14ac:dyDescent="0.35">
      <c r="A156">
        <v>9</v>
      </c>
      <c r="B156" s="21">
        <v>9</v>
      </c>
    </row>
    <row r="157" spans="1:2" x14ac:dyDescent="0.35">
      <c r="A157">
        <v>10</v>
      </c>
      <c r="B157" s="21">
        <v>8</v>
      </c>
    </row>
    <row r="158" spans="1:2" x14ac:dyDescent="0.35">
      <c r="A158">
        <v>11</v>
      </c>
      <c r="B158" s="21">
        <v>11</v>
      </c>
    </row>
    <row r="159" spans="1:2" x14ac:dyDescent="0.35">
      <c r="A159">
        <v>12</v>
      </c>
      <c r="B159" s="21">
        <v>4</v>
      </c>
    </row>
    <row r="160" spans="1:2" x14ac:dyDescent="0.35">
      <c r="A160">
        <v>13</v>
      </c>
      <c r="B160" s="21">
        <v>10</v>
      </c>
    </row>
    <row r="161" spans="1:7" x14ac:dyDescent="0.35">
      <c r="A161">
        <v>14</v>
      </c>
      <c r="B161" s="21">
        <v>13</v>
      </c>
    </row>
    <row r="162" spans="1:7" x14ac:dyDescent="0.35">
      <c r="A162" t="s">
        <v>2514</v>
      </c>
      <c r="B162" s="21">
        <v>2400</v>
      </c>
    </row>
    <row r="171" spans="1:7" x14ac:dyDescent="0.35">
      <c r="A171" s="20" t="s">
        <v>2533</v>
      </c>
      <c r="B171" s="20"/>
      <c r="C171" s="20"/>
    </row>
    <row r="173" spans="1:7" x14ac:dyDescent="0.35">
      <c r="A173" s="5" t="s">
        <v>2503</v>
      </c>
      <c r="B173" s="5" t="s">
        <v>9</v>
      </c>
    </row>
    <row r="174" spans="1:7" x14ac:dyDescent="0.35">
      <c r="A174" s="5" t="s">
        <v>2527</v>
      </c>
      <c r="B174">
        <v>1</v>
      </c>
      <c r="C174">
        <v>2</v>
      </c>
      <c r="D174">
        <v>3</v>
      </c>
      <c r="E174">
        <v>4</v>
      </c>
      <c r="F174">
        <v>5</v>
      </c>
      <c r="G174" t="s">
        <v>2514</v>
      </c>
    </row>
    <row r="175" spans="1:7" x14ac:dyDescent="0.35">
      <c r="A175" t="s">
        <v>2528</v>
      </c>
      <c r="B175" s="21">
        <v>7</v>
      </c>
      <c r="C175" s="21">
        <v>37</v>
      </c>
      <c r="D175" s="21">
        <v>150</v>
      </c>
      <c r="E175" s="21">
        <v>312</v>
      </c>
      <c r="F175" s="21">
        <v>224</v>
      </c>
      <c r="G175" s="21">
        <v>730</v>
      </c>
    </row>
    <row r="176" spans="1:7" x14ac:dyDescent="0.35">
      <c r="A176" t="s">
        <v>2529</v>
      </c>
      <c r="B176" s="21">
        <v>8</v>
      </c>
      <c r="C176" s="21">
        <v>51</v>
      </c>
      <c r="D176" s="21">
        <v>182</v>
      </c>
      <c r="E176" s="21">
        <v>373</v>
      </c>
      <c r="F176" s="21">
        <v>247</v>
      </c>
      <c r="G176" s="21">
        <v>861</v>
      </c>
    </row>
    <row r="177" spans="1:7" x14ac:dyDescent="0.35">
      <c r="A177" t="s">
        <v>2530</v>
      </c>
      <c r="B177" s="21">
        <v>6</v>
      </c>
      <c r="C177" s="21">
        <v>39</v>
      </c>
      <c r="D177" s="21">
        <v>163</v>
      </c>
      <c r="E177" s="21">
        <v>351</v>
      </c>
      <c r="F177" s="21">
        <v>250</v>
      </c>
      <c r="G177" s="21">
        <v>809</v>
      </c>
    </row>
    <row r="178" spans="1:7" x14ac:dyDescent="0.35">
      <c r="A178" t="s">
        <v>2514</v>
      </c>
      <c r="B178" s="21">
        <v>21</v>
      </c>
      <c r="C178" s="21">
        <v>127</v>
      </c>
      <c r="D178" s="21">
        <v>495</v>
      </c>
      <c r="E178" s="21">
        <v>1036</v>
      </c>
      <c r="F178" s="21">
        <v>721</v>
      </c>
      <c r="G178" s="21">
        <v>2400</v>
      </c>
    </row>
  </sheetData>
  <mergeCells count="6">
    <mergeCell ref="H2:J2"/>
    <mergeCell ref="F80:G80"/>
    <mergeCell ref="J80:K80"/>
    <mergeCell ref="A171:C171"/>
    <mergeCell ref="A78:B78"/>
    <mergeCell ref="A144:C144"/>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0584-F1D1-4B9D-B014-FAA9C301A6BF}">
  <dimension ref="A2:L10"/>
  <sheetViews>
    <sheetView showGridLines="0" workbookViewId="0">
      <selection activeCell="I12" sqref="I12"/>
    </sheetView>
  </sheetViews>
  <sheetFormatPr defaultRowHeight="14.5" x14ac:dyDescent="0.35"/>
  <cols>
    <col min="1" max="1" width="14" bestFit="1" customWidth="1"/>
    <col min="2" max="2" width="15.26953125" bestFit="1" customWidth="1"/>
    <col min="3" max="3" width="6.81640625" bestFit="1" customWidth="1"/>
    <col min="4" max="4" width="5.81640625" bestFit="1" customWidth="1"/>
    <col min="5" max="5" width="8.90625" bestFit="1" customWidth="1"/>
    <col min="6" max="6" width="10.7265625" bestFit="1" customWidth="1"/>
    <col min="8" max="8" width="10.81640625" bestFit="1" customWidth="1"/>
  </cols>
  <sheetData>
    <row r="2" spans="1:12" x14ac:dyDescent="0.35">
      <c r="H2" t="s">
        <v>2520</v>
      </c>
    </row>
    <row r="3" spans="1:12" x14ac:dyDescent="0.35">
      <c r="A3" s="5" t="s">
        <v>2505</v>
      </c>
      <c r="B3" s="5" t="s">
        <v>2519</v>
      </c>
    </row>
    <row r="4" spans="1:12" ht="15" thickBot="1" x14ac:dyDescent="0.4">
      <c r="A4" s="5" t="s">
        <v>2513</v>
      </c>
      <c r="B4" t="s">
        <v>2517</v>
      </c>
      <c r="C4" t="s">
        <v>2516</v>
      </c>
      <c r="D4" t="s">
        <v>2518</v>
      </c>
      <c r="E4" t="s">
        <v>2515</v>
      </c>
      <c r="F4" t="s">
        <v>2514</v>
      </c>
      <c r="H4" s="8"/>
      <c r="I4" s="9" t="str">
        <f>B4</f>
        <v>Female</v>
      </c>
      <c r="J4" s="9" t="str">
        <f t="shared" ref="J4:L4" si="0">C4</f>
        <v>Male</v>
      </c>
      <c r="K4" s="9" t="str">
        <f t="shared" si="0"/>
        <v>Other</v>
      </c>
      <c r="L4" s="10" t="str">
        <f t="shared" si="0"/>
        <v>Unknown</v>
      </c>
    </row>
    <row r="5" spans="1:12" ht="15.5" thickTop="1" thickBot="1" x14ac:dyDescent="0.4">
      <c r="A5" s="4" t="s">
        <v>18</v>
      </c>
      <c r="B5" s="7">
        <v>0.18961825201634841</v>
      </c>
      <c r="C5" s="7">
        <v>0.12262322351336576</v>
      </c>
      <c r="D5" s="7">
        <v>1.060537752469185E-2</v>
      </c>
      <c r="E5" s="7">
        <v>3.0599220547662797E-2</v>
      </c>
      <c r="F5" s="7">
        <v>0.35344607360206881</v>
      </c>
      <c r="H5" s="11" t="str">
        <f>A5</f>
        <v>App</v>
      </c>
      <c r="I5" s="12">
        <f t="shared" ref="I5:L9" si="1">B5</f>
        <v>0.18961825201634841</v>
      </c>
      <c r="J5" s="12">
        <f t="shared" si="1"/>
        <v>0.12262322351336576</v>
      </c>
      <c r="K5" s="12">
        <f t="shared" si="1"/>
        <v>1.060537752469185E-2</v>
      </c>
      <c r="L5" s="13">
        <f t="shared" si="1"/>
        <v>3.0599220547662797E-2</v>
      </c>
    </row>
    <row r="6" spans="1:12" ht="15.5" thickTop="1" thickBot="1" x14ac:dyDescent="0.4">
      <c r="A6" s="4" t="s">
        <v>51</v>
      </c>
      <c r="B6" s="7">
        <v>5.0283982091147303E-2</v>
      </c>
      <c r="C6" s="7">
        <v>4.3060781812819873E-2</v>
      </c>
      <c r="D6" s="7">
        <v>1.5320025675641944E-3</v>
      </c>
      <c r="E6" s="7">
        <v>1.7794988689097006E-2</v>
      </c>
      <c r="F6" s="7">
        <v>0.11267175516062837</v>
      </c>
      <c r="H6" s="11" t="str">
        <f t="shared" ref="H6:H9" si="2">A6</f>
        <v>Instagram</v>
      </c>
      <c r="I6" s="12">
        <f t="shared" si="1"/>
        <v>5.0283982091147303E-2</v>
      </c>
      <c r="J6" s="12">
        <f t="shared" si="1"/>
        <v>4.3060781812819873E-2</v>
      </c>
      <c r="K6" s="12">
        <f t="shared" si="1"/>
        <v>1.5320025675641944E-3</v>
      </c>
      <c r="L6" s="13">
        <f t="shared" si="1"/>
        <v>1.7794988689097006E-2</v>
      </c>
    </row>
    <row r="7" spans="1:12" ht="15.5" thickTop="1" thickBot="1" x14ac:dyDescent="0.4">
      <c r="A7" s="4" t="s">
        <v>70</v>
      </c>
      <c r="B7" s="7">
        <v>6.3496059750411282E-2</v>
      </c>
      <c r="C7" s="7">
        <v>4.6071629863988765E-2</v>
      </c>
      <c r="D7" s="7">
        <v>2.306247051322625E-3</v>
      </c>
      <c r="E7" s="7">
        <v>3.8927934093844286E-3</v>
      </c>
      <c r="F7" s="7">
        <v>0.11576673007510711</v>
      </c>
      <c r="H7" s="11" t="str">
        <f t="shared" si="2"/>
        <v>Partner App</v>
      </c>
      <c r="I7" s="12">
        <f t="shared" si="1"/>
        <v>6.3496059750411282E-2</v>
      </c>
      <c r="J7" s="12">
        <f t="shared" si="1"/>
        <v>4.6071629863988765E-2</v>
      </c>
      <c r="K7" s="12">
        <f t="shared" si="1"/>
        <v>2.306247051322625E-3</v>
      </c>
      <c r="L7" s="13">
        <f t="shared" si="1"/>
        <v>3.8927934093844286E-3</v>
      </c>
    </row>
    <row r="8" spans="1:12" ht="15.5" thickTop="1" thickBot="1" x14ac:dyDescent="0.4">
      <c r="A8" s="4" t="s">
        <v>40</v>
      </c>
      <c r="B8" s="7">
        <v>9.6337892927149532E-2</v>
      </c>
      <c r="C8" s="7">
        <v>6.7920115842382611E-2</v>
      </c>
      <c r="D8" s="7">
        <v>5.4979832664581261E-3</v>
      </c>
      <c r="E8" s="7">
        <v>1.2933041488102518E-2</v>
      </c>
      <c r="F8" s="7">
        <v>0.1826890335240928</v>
      </c>
      <c r="H8" s="11" t="str">
        <f t="shared" si="2"/>
        <v>Target.com</v>
      </c>
      <c r="I8" s="12">
        <f t="shared" si="1"/>
        <v>9.6337892927149532E-2</v>
      </c>
      <c r="J8" s="12">
        <f t="shared" si="1"/>
        <v>6.7920115842382611E-2</v>
      </c>
      <c r="K8" s="12">
        <f t="shared" si="1"/>
        <v>5.4979832664581261E-3</v>
      </c>
      <c r="L8" s="13">
        <f t="shared" si="1"/>
        <v>1.2933041488102518E-2</v>
      </c>
    </row>
    <row r="9" spans="1:12" ht="15" thickTop="1" x14ac:dyDescent="0.35">
      <c r="A9" s="4" t="s">
        <v>35</v>
      </c>
      <c r="B9" s="7">
        <v>0.12522098709469262</v>
      </c>
      <c r="C9" s="7">
        <v>9.1492740283116228E-2</v>
      </c>
      <c r="D9" s="7">
        <v>6.3042760790965081E-3</v>
      </c>
      <c r="E9" s="7">
        <v>1.2408404181197551E-2</v>
      </c>
      <c r="F9" s="7">
        <v>0.23542640763810288</v>
      </c>
      <c r="H9" s="14" t="str">
        <f t="shared" si="2"/>
        <v>Website</v>
      </c>
      <c r="I9" s="15">
        <f t="shared" si="1"/>
        <v>0.12522098709469262</v>
      </c>
      <c r="J9" s="15">
        <f t="shared" si="1"/>
        <v>9.1492740283116228E-2</v>
      </c>
      <c r="K9" s="15">
        <f t="shared" si="1"/>
        <v>6.3042760790965081E-3</v>
      </c>
      <c r="L9" s="16">
        <f t="shared" si="1"/>
        <v>1.2408404181197551E-2</v>
      </c>
    </row>
    <row r="10" spans="1:12" x14ac:dyDescent="0.35">
      <c r="A10" s="4" t="s">
        <v>2514</v>
      </c>
      <c r="B10" s="7">
        <v>0.52495717387974916</v>
      </c>
      <c r="C10" s="7">
        <v>0.3711684913156732</v>
      </c>
      <c r="D10" s="7">
        <v>2.6245886489133303E-2</v>
      </c>
      <c r="E10" s="7">
        <v>7.7628448315444312E-2</v>
      </c>
      <c r="F10" s="7">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1743-E006-4B85-9EA7-E08CCDD18AE3}">
  <dimension ref="A1:O2401"/>
  <sheetViews>
    <sheetView topLeftCell="C2" workbookViewId="0">
      <selection activeCell="B70" sqref="B70"/>
    </sheetView>
  </sheetViews>
  <sheetFormatPr defaultRowHeight="14.5" x14ac:dyDescent="0.35"/>
  <cols>
    <col min="1" max="1" width="8.81640625" bestFit="1" customWidth="1"/>
    <col min="2" max="2" width="19.6328125" bestFit="1" customWidth="1"/>
    <col min="3" max="3" width="8.1796875" bestFit="1" customWidth="1"/>
    <col min="6" max="6" width="10.1796875" bestFit="1" customWidth="1"/>
    <col min="7" max="7" width="9.54296875" bestFit="1" customWidth="1"/>
    <col min="9" max="9" width="11.08984375" bestFit="1" customWidth="1"/>
    <col min="11" max="11" width="8.81640625" bestFit="1" customWidth="1"/>
    <col min="12" max="12" width="20.36328125" bestFit="1" customWidth="1"/>
    <col min="13" max="13" width="13.453125" bestFit="1" customWidth="1"/>
    <col min="14" max="14" width="9.453125" bestFit="1" customWidth="1"/>
    <col min="15" max="15" width="12.1796875" bestFit="1"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s="3" t="s">
        <v>12</v>
      </c>
      <c r="N1" s="3" t="s">
        <v>13</v>
      </c>
      <c r="O1" s="3"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Matrix-order mode gender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Sumalatha Mothukuru</dc:creator>
  <cp:lastModifiedBy>Sumalatha Mothukuru</cp:lastModifiedBy>
  <cp:lastPrinted>2026-01-27T12:32:20Z</cp:lastPrinted>
  <dcterms:created xsi:type="dcterms:W3CDTF">2026-01-27T06:33:56Z</dcterms:created>
  <dcterms:modified xsi:type="dcterms:W3CDTF">2026-02-28T10:21:03Z</dcterms:modified>
</cp:coreProperties>
</file>